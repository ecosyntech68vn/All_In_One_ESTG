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ô phỏng" sheetId="1" state="visible" r:id="rId3"/>
    <sheet name="Giả địn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<sst xmlns="http://schemas.openxmlformats.org/spreadsheetml/2006/main" count="65" uniqueCount="65">
  <si>
    <t xml:space="preserve">MÔ PHỎNG HIỆU QUẢ PHỄU &amp; GIÁ — Cỗ Máy Nội Dung</t>
  </si>
  <si>
    <t xml:space="preserve">Ô vàng = sửa được. Số là ước tính lập kế hoạch theo thị trường VN — validate bằng 50-100 lead thật rồi cập nhật.</t>
  </si>
  <si>
    <t xml:space="preserve">THAM SỐ CHUNG (sửa ô vàng)</t>
  </si>
  <si>
    <t xml:space="preserve">Lead mới/tháng (đủ điều kiện)</t>
  </si>
  <si>
    <t xml:space="preserve">Tỷ lệ hoàn tiền</t>
  </si>
  <si>
    <t xml:space="preserve">Giá Tripwire (đ)</t>
  </si>
  <si>
    <t xml:space="preserve">Giá Câu lạc bộ/tháng (đ)</t>
  </si>
  <si>
    <t xml:space="preserve">Tenure Câu lạc bộ (tháng TB)</t>
  </si>
  <si>
    <t xml:space="preserve">Giá Premium (đ)</t>
  </si>
  <si>
    <t xml:space="preserve">Premium % (trên Core)</t>
  </si>
  <si>
    <t xml:space="preserve">Hệ số "subscriber-tháng" năm 1 (tự tính)</t>
  </si>
  <si>
    <t xml:space="preserve">KỊCH BẢN GIÁ / OFFER</t>
  </si>
  <si>
    <t xml:space="preserve">Chỉ tiêu</t>
  </si>
  <si>
    <t xml:space="preserve">A: 990k đơn lẻ</t>
  </si>
  <si>
    <t xml:space="preserve">B: 499k giá rẻ</t>
  </si>
  <si>
    <t xml:space="preserve">C: 990k + ladder ★</t>
  </si>
  <si>
    <t xml:space="preserve">D: 690k promo + ladder</t>
  </si>
  <si>
    <t xml:space="preserve">Giá Core (đ)</t>
  </si>
  <si>
    <t xml:space="preserve">Lead → Tripwire %</t>
  </si>
  <si>
    <t xml:space="preserve">Tripwire → Core %</t>
  </si>
  <si>
    <t xml:space="preserve">Lead → Core trực tiếp %</t>
  </si>
  <si>
    <t xml:space="preserve">Core → Câu lạc bộ %</t>
  </si>
  <si>
    <t xml:space="preserve">KẾT QUẢ (tự tính)</t>
  </si>
  <si>
    <t xml:space="preserve">Tripwire bán/tháng</t>
  </si>
  <si>
    <t xml:space="preserve">Core từ tripwire</t>
  </si>
  <si>
    <t xml:space="preserve">Core trực tiếp/tháng</t>
  </si>
  <si>
    <t xml:space="preserve">TỔNG Core/tháng</t>
  </si>
  <si>
    <t xml:space="preserve">Premium/tháng</t>
  </si>
  <si>
    <t xml:space="preserve">DT một lần/tháng (sau refund)</t>
  </si>
  <si>
    <t xml:space="preserve">Club sub mới/tháng</t>
  </si>
  <si>
    <t xml:space="preserve">MRR ổn định (đ)</t>
  </si>
  <si>
    <t xml:space="preserve">DT Club năm 1 (đ)</t>
  </si>
  <si>
    <t xml:space="preserve">DT NĂM 1 (ƯỚC TÍNH, đ)</t>
  </si>
  <si>
    <t xml:space="preserve">KẾT LUẬN TỪ MÔ PHỎNG</t>
  </si>
  <si>
    <t xml:space="preserve">• 499k “giá rẻ” đơn lẻ (B) cho doanh thu năm 1 THẤP NHẤT — cắt giá sâu hơn mức tăng chuyển đổi → mất tiền.</t>
  </si>
  <si>
    <t xml:space="preserve">• Đòn bẩy thật KHÔNG phải hạ giá, mà là VALUE LADDER (tripwire → Core → Premium) + Câu lạc bộ (MRR).</t>
  </si>
  <si>
    <t xml:space="preserve">• Core 690-990k ĐỀU thắng khi có ladder. Nên A/B test 690k vs 990k, TUYỆT ĐỐI không bán 499k đơn lẻ.</t>
  </si>
  <si>
    <t xml:space="preserve">• MRR Câu lạc bộ là phần tạo khác biệt lớn nhất về tổng doanh thu năm 1 — ưu tiên dựng thật.</t>
  </si>
  <si>
    <t xml:space="preserve">• Đây là số kế hoạch. Chạy 50-100 lead thật → thay tỷ lệ thật vào ô vàng → mô hình tự cập nhật.</t>
  </si>
  <si>
    <t xml:space="preserve">GIẢ ĐỊNH &amp; CƠ SỞ</t>
  </si>
  <si>
    <t xml:space="preserve">Khoảng tham chiếu phễu số ở VN — dùng làm điểm khởi đầu, không phải con số chắc chắn.</t>
  </si>
  <si>
    <t xml:space="preserve">Lead → Tripwire (199k, ma sát thấp)</t>
  </si>
  <si>
    <t xml:space="preserve">3-8%</t>
  </si>
  <si>
    <t xml:space="preserve">Tripwire rẻ dễ gật đầu; dùng 5-6%.</t>
  </si>
  <si>
    <t xml:space="preserve">Tripwire → Core (đã ấm)</t>
  </si>
  <si>
    <t xml:space="preserve">15-30%</t>
  </si>
  <si>
    <t xml:space="preserve">Người đã mua nhỏ tin hơn; 20-26%.</t>
  </si>
  <si>
    <t xml:space="preserve">Lead → Core trực tiếp (chưa qua tripwire)</t>
  </si>
  <si>
    <t xml:space="preserve">1-3%</t>
  </si>
  <si>
    <t xml:space="preserve">Khách lạnh; 1.5-2.6%.</t>
  </si>
  <si>
    <t xml:space="preserve">Core → Premium (high-ticket)</t>
  </si>
  <si>
    <t xml:space="preserve">3-10%</t>
  </si>
  <si>
    <t xml:space="preserve">Tệp coach WTP cao; 5%.</t>
  </si>
  <si>
    <t xml:space="preserve">Core → Câu lạc bộ trả phí (sau 3 tháng free)</t>
  </si>
  <si>
    <t xml:space="preserve">20-40%</t>
  </si>
  <si>
    <t xml:space="preserve">Người dùng thật ở lại; 30%.</t>
  </si>
  <si>
    <t xml:space="preserve">Tenure Câu lạc bộ</t>
  </si>
  <si>
    <t xml:space="preserve">4-6 tháng</t>
  </si>
  <si>
    <t xml:space="preserve">Cộng đồng + cập nhật giữ chân; 5.</t>
  </si>
  <si>
    <t xml:space="preserve">Hoàn tiền sản phẩm số VN</t>
  </si>
  <si>
    <t xml:space="preserve">5-10%</t>
  </si>
  <si>
    <t xml:space="preserve">Bảo đảm tốt + đúng kỳ vọng; 6%.</t>
  </si>
  <si>
    <t xml:space="preserve">Lead hữu cơ/tháng (creator solo)</t>
  </si>
  <si>
    <t xml:space="preserve">200-500</t>
  </si>
  <si>
    <t xml:space="preserve">Phụ thuộc reach; mặc định 300.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</si>
</sst>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0.0"/>
    <numFmt numFmtId="168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.5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40404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60606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</row>
    <row r="5" customFormat="false" ht="15" hidden="false" customHeight="false" outlineLevel="0" collapsed="false">
      <c r="A5" s="4" t="s">
        <v>3</v>
      </c>
      <c r="B5" s="5" t="n">
        <v>300</v>
      </c>
    </row>
    <row r="6" customFormat="false" ht="15" hidden="false" customHeight="false" outlineLevel="0" collapsed="false">
      <c r="A6" s="4" t="s">
        <v>4</v>
      </c>
      <c r="B6" s="6" t="n">
        <v>0.06</v>
      </c>
    </row>
    <row r="7" customFormat="false" ht="15" hidden="false" customHeight="false" outlineLevel="0" collapsed="false">
      <c r="A7" s="4" t="s">
        <v>5</v>
      </c>
      <c r="B7" s="7" t="n">
        <v>199000</v>
      </c>
    </row>
    <row r="8" customFormat="false" ht="15" hidden="false" customHeight="false" outlineLevel="0" collapsed="false">
      <c r="A8" s="4" t="s">
        <v>6</v>
      </c>
      <c r="B8" s="7" t="n">
        <v>199000</v>
      </c>
    </row>
    <row r="9" customFormat="false" ht="15" hidden="false" customHeight="false" outlineLevel="0" collapsed="false">
      <c r="A9" s="4" t="s">
        <v>7</v>
      </c>
      <c r="B9" s="5" t="n">
        <v>5</v>
      </c>
    </row>
    <row r="10" customFormat="false" ht="15" hidden="false" customHeight="false" outlineLevel="0" collapsed="false">
      <c r="A10" s="4" t="s">
        <v>8</v>
      </c>
      <c r="B10" s="7" t="n">
        <v>4900000</v>
      </c>
    </row>
    <row r="11" customFormat="false" ht="15" hidden="false" customHeight="false" outlineLevel="0" collapsed="false">
      <c r="A11" s="4" t="s">
        <v>9</v>
      </c>
      <c r="B11" s="6" t="n">
        <v>0.05</v>
      </c>
    </row>
    <row r="12" customFormat="false" ht="23.85" hidden="false" customHeight="false" outlineLevel="0" collapsed="false">
      <c r="A12" s="8" t="s">
        <v>10</v>
      </c>
      <c r="B12" s="9" t="n">
        <f aca="false">B9*(13-B9)+B9*(B9-1)/2</f>
        <v>50</v>
      </c>
    </row>
    <row r="14" customFormat="false" ht="15" hidden="false" customHeight="true" outlineLevel="0" collapsed="false">
      <c r="A14" s="3" t="s">
        <v>11</v>
      </c>
      <c r="B14" s="3"/>
      <c r="C14" s="3"/>
      <c r="D14" s="3"/>
      <c r="E14" s="3"/>
    </row>
    <row r="15" customFormat="false" ht="26.85" hidden="false" customHeight="false" outlineLevel="0" collapsed="false">
      <c r="A15" s="10" t="s">
        <v>12</v>
      </c>
      <c r="B15" s="10" t="s">
        <v>13</v>
      </c>
      <c r="C15" s="10" t="s">
        <v>14</v>
      </c>
      <c r="D15" s="10" t="s">
        <v>15</v>
      </c>
      <c r="E15" s="10" t="s">
        <v>16</v>
      </c>
    </row>
    <row r="16" customFormat="false" ht="15" hidden="false" customHeight="false" outlineLevel="0" collapsed="false">
      <c r="A16" s="4" t="s">
        <v>17</v>
      </c>
      <c r="B16" s="7" t="n">
        <v>990000</v>
      </c>
      <c r="C16" s="7" t="n">
        <v>499000</v>
      </c>
      <c r="D16" s="7" t="n">
        <v>990000</v>
      </c>
      <c r="E16" s="7" t="n">
        <v>690000</v>
      </c>
    </row>
    <row r="17" customFormat="false" ht="15" hidden="false" customHeight="false" outlineLevel="0" collapsed="false">
      <c r="A17" s="4" t="s">
        <v>18</v>
      </c>
      <c r="B17" s="6" t="n">
        <v>0</v>
      </c>
      <c r="C17" s="6" t="n">
        <v>0</v>
      </c>
      <c r="D17" s="6" t="n">
        <v>0.05</v>
      </c>
      <c r="E17" s="6" t="n">
        <v>0.06</v>
      </c>
    </row>
    <row r="18" customFormat="false" ht="15" hidden="false" customHeight="false" outlineLevel="0" collapsed="false">
      <c r="A18" s="4" t="s">
        <v>19</v>
      </c>
      <c r="B18" s="6" t="n">
        <v>0</v>
      </c>
      <c r="C18" s="6" t="n">
        <v>0</v>
      </c>
      <c r="D18" s="6" t="n">
        <v>0.2</v>
      </c>
      <c r="E18" s="6" t="n">
        <v>0.26</v>
      </c>
    </row>
    <row r="19" customFormat="false" ht="15" hidden="false" customHeight="false" outlineLevel="0" collapsed="false">
      <c r="A19" s="4" t="s">
        <v>20</v>
      </c>
      <c r="B19" s="6" t="n">
        <v>0.018</v>
      </c>
      <c r="C19" s="6" t="n">
        <v>0.026</v>
      </c>
      <c r="D19" s="6" t="n">
        <v>0.015</v>
      </c>
      <c r="E19" s="6" t="n">
        <v>0.022</v>
      </c>
    </row>
    <row r="20" customFormat="false" ht="15" hidden="false" customHeight="false" outlineLevel="0" collapsed="false">
      <c r="A20" s="4" t="s">
        <v>21</v>
      </c>
      <c r="B20" s="6" t="n">
        <v>0</v>
      </c>
      <c r="C20" s="6" t="n">
        <v>0</v>
      </c>
      <c r="D20" s="6" t="n">
        <v>0.3</v>
      </c>
      <c r="E20" s="6" t="n">
        <v>0.3</v>
      </c>
    </row>
    <row r="22" customFormat="false" ht="15" hidden="false" customHeight="true" outlineLevel="0" collapsed="false">
      <c r="A22" s="3" t="s">
        <v>22</v>
      </c>
      <c r="B22" s="3"/>
      <c r="C22" s="3"/>
      <c r="D22" s="3"/>
      <c r="E22" s="3"/>
    </row>
    <row r="23" customFormat="false" ht="15" hidden="false" customHeight="false" outlineLevel="0" collapsed="false">
      <c r="A23" s="11" t="s">
        <v>23</v>
      </c>
      <c r="B23" s="12" t="n">
        <f aca="false">$B$5*B17</f>
        <v>0</v>
      </c>
      <c r="C23" s="12" t="n">
        <f aca="false">$B$5*C17</f>
        <v>0</v>
      </c>
      <c r="D23" s="12" t="n">
        <f aca="false">$B$5*D17</f>
        <v>15</v>
      </c>
      <c r="E23" s="12" t="n">
        <f aca="false">$B$5*E17</f>
        <v>18</v>
      </c>
    </row>
    <row r="24" customFormat="false" ht="15" hidden="false" customHeight="false" outlineLevel="0" collapsed="false">
      <c r="A24" s="11" t="s">
        <v>24</v>
      </c>
      <c r="B24" s="12" t="n">
        <f aca="false">B23*B18</f>
        <v>0</v>
      </c>
      <c r="C24" s="12" t="n">
        <f aca="false">C23*C18</f>
        <v>0</v>
      </c>
      <c r="D24" s="12" t="n">
        <f aca="false">D23*D18</f>
        <v>3</v>
      </c>
      <c r="E24" s="12" t="n">
        <f aca="false">E23*E18</f>
        <v>4.68</v>
      </c>
    </row>
    <row r="25" customFormat="false" ht="15" hidden="false" customHeight="false" outlineLevel="0" collapsed="false">
      <c r="A25" s="11" t="s">
        <v>25</v>
      </c>
      <c r="B25" s="12" t="n">
        <f aca="false">$B$5*B19</f>
        <v>5.4</v>
      </c>
      <c r="C25" s="12" t="n">
        <f aca="false">$B$5*C19</f>
        <v>7.8</v>
      </c>
      <c r="D25" s="12" t="n">
        <f aca="false">$B$5*D19</f>
        <v>4.5</v>
      </c>
      <c r="E25" s="12" t="n">
        <f aca="false">$B$5*E19</f>
        <v>6.6</v>
      </c>
    </row>
    <row r="26" customFormat="false" ht="15" hidden="false" customHeight="false" outlineLevel="0" collapsed="false">
      <c r="A26" s="4" t="s">
        <v>26</v>
      </c>
      <c r="B26" s="13" t="n">
        <f aca="false">B24+B25</f>
        <v>5.4</v>
      </c>
      <c r="C26" s="13" t="n">
        <f aca="false">C24+C25</f>
        <v>7.8</v>
      </c>
      <c r="D26" s="13" t="n">
        <f aca="false">D24+D25</f>
        <v>7.5</v>
      </c>
      <c r="E26" s="13" t="n">
        <f aca="false">E24+E25</f>
        <v>11.28</v>
      </c>
    </row>
    <row r="27" customFormat="false" ht="15" hidden="false" customHeight="false" outlineLevel="0" collapsed="false">
      <c r="A27" s="11" t="s">
        <v>27</v>
      </c>
      <c r="B27" s="14" t="n">
        <f aca="false">B26*$B$11</f>
        <v>0.27</v>
      </c>
      <c r="C27" s="14" t="n">
        <f aca="false">C26*$B$11</f>
        <v>0.39</v>
      </c>
      <c r="D27" s="14" t="n">
        <f aca="false">D26*$B$11</f>
        <v>0.375</v>
      </c>
      <c r="E27" s="14" t="n">
        <f aca="false">E26*$B$11</f>
        <v>0.564</v>
      </c>
    </row>
    <row r="28" customFormat="false" ht="15" hidden="false" customHeight="false" outlineLevel="0" collapsed="false">
      <c r="A28" s="11" t="s">
        <v>28</v>
      </c>
      <c r="B28" s="15" t="n">
        <f aca="false">(B23*$B$7+B26*B16+B27*$B$10)*(1-$B$6)</f>
        <v>6268860</v>
      </c>
      <c r="C28" s="15" t="n">
        <f aca="false">(C23*$B$7+C26*C16+C27*$B$10)*(1-$B$6)</f>
        <v>5455008</v>
      </c>
      <c r="D28" s="15" t="n">
        <f aca="false">(D23*$B$7+D26*D16+D27*$B$10)*(1-$B$6)</f>
        <v>11512650</v>
      </c>
      <c r="E28" s="15" t="n">
        <f aca="false">(E23*$B$7+E26*E16+E27*$B$10)*(1-$B$6)</f>
        <v>13281072</v>
      </c>
    </row>
    <row r="29" customFormat="false" ht="15" hidden="false" customHeight="false" outlineLevel="0" collapsed="false">
      <c r="A29" s="11" t="s">
        <v>29</v>
      </c>
      <c r="B29" s="12" t="n">
        <f aca="false">B26*B20</f>
        <v>0</v>
      </c>
      <c r="C29" s="12" t="n">
        <f aca="false">C26*C20</f>
        <v>0</v>
      </c>
      <c r="D29" s="12" t="n">
        <f aca="false">D26*D20</f>
        <v>2.25</v>
      </c>
      <c r="E29" s="12" t="n">
        <f aca="false">E26*E20</f>
        <v>3.384</v>
      </c>
    </row>
    <row r="30" customFormat="false" ht="15" hidden="false" customHeight="false" outlineLevel="0" collapsed="false">
      <c r="A30" s="11" t="s">
        <v>30</v>
      </c>
      <c r="B30" s="15" t="n">
        <f aca="false">B29*$B$9*$B$8</f>
        <v>0</v>
      </c>
      <c r="C30" s="15" t="n">
        <f aca="false">C29*$B$9*$B$8</f>
        <v>0</v>
      </c>
      <c r="D30" s="15" t="n">
        <f aca="false">D29*$B$9*$B$8</f>
        <v>2238750</v>
      </c>
      <c r="E30" s="15" t="n">
        <f aca="false">E29*$B$9*$B$8</f>
        <v>3367080</v>
      </c>
    </row>
    <row r="31" customFormat="false" ht="15" hidden="false" customHeight="false" outlineLevel="0" collapsed="false">
      <c r="A31" s="11" t="s">
        <v>31</v>
      </c>
      <c r="B31" s="15" t="n">
        <f aca="false">B29*$B$8*$B$13</f>
        <v>0</v>
      </c>
      <c r="C31" s="15" t="n">
        <f aca="false">C29*$B$8*$B$13</f>
        <v>0</v>
      </c>
      <c r="D31" s="15" t="n">
        <f aca="false">D29*$B$8*$B$13</f>
        <v>0</v>
      </c>
      <c r="E31" s="15" t="n">
        <f aca="false">E29*$B$8*$B$13</f>
        <v>0</v>
      </c>
    </row>
    <row r="32" customFormat="false" ht="15" hidden="false" customHeight="false" outlineLevel="0" collapsed="false">
      <c r="A32" s="4" t="s">
        <v>32</v>
      </c>
      <c r="B32" s="16" t="n">
        <f aca="false">B28*12+B31</f>
        <v>75226320</v>
      </c>
      <c r="C32" s="17" t="n">
        <f aca="false">C28*12+C31</f>
        <v>65460096</v>
      </c>
      <c r="D32" s="16" t="n">
        <f aca="false">D28*12+D31</f>
        <v>138151800</v>
      </c>
      <c r="E32" s="16" t="n">
        <f aca="false">E28*12+E31</f>
        <v>159372864</v>
      </c>
    </row>
    <row r="34" customFormat="false" ht="15" hidden="false" customHeight="true" outlineLevel="0" collapsed="false">
      <c r="A34" s="3" t="s">
        <v>33</v>
      </c>
      <c r="B34" s="3"/>
      <c r="C34" s="3"/>
      <c r="D34" s="3"/>
      <c r="E34" s="3"/>
    </row>
    <row r="35" customFormat="false" ht="19.5" hidden="false" customHeight="true" outlineLevel="0" collapsed="false">
      <c r="A35" s="18" t="s">
        <v>34</v>
      </c>
      <c r="B35" s="18"/>
      <c r="C35" s="18"/>
      <c r="D35" s="18"/>
      <c r="E35" s="18"/>
    </row>
    <row r="36" customFormat="false" ht="19.5" hidden="false" customHeight="true" outlineLevel="0" collapsed="false">
      <c r="A36" s="18" t="s">
        <v>35</v>
      </c>
      <c r="B36" s="18"/>
      <c r="C36" s="18"/>
      <c r="D36" s="18"/>
      <c r="E36" s="18"/>
    </row>
    <row r="37" customFormat="false" ht="19.5" hidden="false" customHeight="true" outlineLevel="0" collapsed="false">
      <c r="A37" s="18" t="s">
        <v>36</v>
      </c>
      <c r="B37" s="18"/>
      <c r="C37" s="18"/>
      <c r="D37" s="18"/>
      <c r="E37" s="18"/>
    </row>
    <row r="38" customFormat="false" ht="19.5" hidden="false" customHeight="true" outlineLevel="0" collapsed="false">
      <c r="A38" s="18" t="s">
        <v>37</v>
      </c>
      <c r="B38" s="18"/>
      <c r="C38" s="18"/>
      <c r="D38" s="18"/>
      <c r="E38" s="18"/>
    </row>
    <row r="39" customFormat="false" ht="19.5" hidden="false" customHeight="true" outlineLevel="0" collapsed="false">
      <c r="A39" s="18" t="s">
        <v>38</v>
      </c>
      <c r="B39" s="18"/>
      <c r="C39" s="18"/>
      <c r="D39" s="18"/>
      <c r="E39" s="18"/>
    </row>
  </sheetData>
  <mergeCells count="11">
    <mergeCell ref="A1:E1"/>
    <mergeCell ref="A2:E2"/>
    <mergeCell ref="A4:E4"/>
    <mergeCell ref="A14:E14"/>
    <mergeCell ref="A22:E22"/>
    <mergeCell ref="A34:E34"/>
    <mergeCell ref="A35:E35"/>
    <mergeCell ref="A36:E36"/>
    <mergeCell ref="A37:E37"/>
    <mergeCell ref="A38:E38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24" hidden="false" customHeight="true" outlineLevel="0" collapsed="false">
      <c r="A1" s="19" t="s">
        <v>39</v>
      </c>
      <c r="B1" s="19"/>
      <c r="C1" s="19"/>
    </row>
    <row r="2" customFormat="false" ht="15" hidden="false" customHeight="true" outlineLevel="0" collapsed="false">
      <c r="A2" s="2" t="s">
        <v>40</v>
      </c>
      <c r="B2" s="2"/>
      <c r="C2" s="2"/>
    </row>
    <row r="3" customFormat="false" ht="15" hidden="false" customHeight="false" outlineLevel="0" collapsed="false">
      <c r="A3" s="20"/>
      <c r="B3" s="20"/>
      <c r="C3" s="20"/>
    </row>
    <row r="4" customFormat="false" ht="30" hidden="false" customHeight="true" outlineLevel="0" collapsed="false">
      <c r="A4" s="4" t="s">
        <v>41</v>
      </c>
      <c r="B4" s="21" t="s">
        <v>42</v>
      </c>
      <c r="C4" s="22" t="s">
        <v>43</v>
      </c>
    </row>
    <row r="5" customFormat="false" ht="30" hidden="false" customHeight="true" outlineLevel="0" collapsed="false">
      <c r="A5" s="4" t="s">
        <v>44</v>
      </c>
      <c r="B5" s="21" t="s">
        <v>45</v>
      </c>
      <c r="C5" s="22" t="s">
        <v>46</v>
      </c>
    </row>
    <row r="6" customFormat="false" ht="30" hidden="false" customHeight="true" outlineLevel="0" collapsed="false">
      <c r="A6" s="4" t="s">
        <v>47</v>
      </c>
      <c r="B6" s="21" t="s">
        <v>48</v>
      </c>
      <c r="C6" s="22" t="s">
        <v>49</v>
      </c>
    </row>
    <row r="7" customFormat="false" ht="30" hidden="false" customHeight="true" outlineLevel="0" collapsed="false">
      <c r="A7" s="4" t="s">
        <v>50</v>
      </c>
      <c r="B7" s="21" t="s">
        <v>51</v>
      </c>
      <c r="C7" s="22" t="s">
        <v>52</v>
      </c>
    </row>
    <row r="8" customFormat="false" ht="30" hidden="false" customHeight="true" outlineLevel="0" collapsed="false">
      <c r="A8" s="4" t="s">
        <v>53</v>
      </c>
      <c r="B8" s="21" t="s">
        <v>54</v>
      </c>
      <c r="C8" s="22" t="s">
        <v>55</v>
      </c>
    </row>
    <row r="9" customFormat="false" ht="30" hidden="false" customHeight="true" outlineLevel="0" collapsed="false">
      <c r="A9" s="4" t="s">
        <v>56</v>
      </c>
      <c r="B9" s="21" t="s">
        <v>57</v>
      </c>
      <c r="C9" s="22" t="s">
        <v>58</v>
      </c>
    </row>
    <row r="10" customFormat="false" ht="30" hidden="false" customHeight="true" outlineLevel="0" collapsed="false">
      <c r="A10" s="4" t="s">
        <v>59</v>
      </c>
      <c r="B10" s="21" t="s">
        <v>60</v>
      </c>
      <c r="C10" s="22" t="s">
        <v>61</v>
      </c>
    </row>
    <row r="11" customFormat="false" ht="30" hidden="false" customHeight="true" outlineLevel="0" collapsed="false">
      <c r="A11" s="4" t="s">
        <v>62</v>
      </c>
      <c r="B11" s="21" t="s">
        <v>63</v>
      </c>
      <c r="C11" s="22" t="s">
        <v>64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2026-05-24T09:25:52Z</dcterms:created>
  <dc:creator>openpyxl</dc:creator>
  <dc:description/>
  <dc:language>en-US</dc:language>
  <cp:lastModifiedBy/>
  <dcterms:modified xsi:type="dcterms:W3CDTF">2026-05-24T09:25:52Z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