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0. Dinh vi" sheetId="1" state="visible" r:id="rId3"/>
    <sheet name="1. Idea Bank" sheetId="2" state="visible" r:id="rId4"/>
    <sheet name="2. Batch 1-to-5" sheetId="3" state="visible" r:id="rId5"/>
    <sheet name="3. Calendar" sheetId="4" state="visible" r:id="rId6"/>
    <sheet name="4. Funnel CTA" sheetId="5" state="visible" r:id="rId7"/>
    <sheet name="5. Tool Checklist" sheetId="6" state="visible" r:id="rId8"/>
    <sheet name="6. KPI Tracker" sheetId="7" state="visible" r:id="rId9"/>
    <sheet name="Refer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<sst xmlns="http://schemas.openxmlformats.org/spreadsheetml/2006/main" count="411" uniqueCount="308">
  <si>
    <t xml:space="preserve">BƯỚC 0 — ĐỊNH VỊ NỀN (làm 1 lần)</t>
  </si>
  <si>
    <t xml:space="preserve">Chốt 5 dữ kiện trước khi chạy máy. Ô vàng = anh/chị điền. Không có 5 dữ kiện này, mọi bước sau đều mò mẫm.</t>
  </si>
  <si>
    <t xml:space="preserve">Dữ kiện</t>
  </si>
  <si>
    <t xml:space="preserve">Nội dung của anh/chị (điền)</t>
  </si>
  <si>
    <t xml:space="preserve">Gợi ý / Ví dụ</t>
  </si>
  <si>
    <t xml:space="preserve">Offer (sản phẩm + giá VND)</t>
  </si>
  <si>
    <t xml:space="preserve">VD: Khóa học X — 1.500.000đ</t>
  </si>
  <si>
    <t xml:space="preserve">Persona chính</t>
  </si>
  <si>
    <t xml:space="preserve">Khách là ai, ở nền tảng nào, dùng ngôn ngữ gì</t>
  </si>
  <si>
    <t xml:space="preserve">Nỗi đau số 1 (Pain #1)</t>
  </si>
  <si>
    <t xml:space="preserve">Vấn đề cấp bách nhất offer giải quyết</t>
  </si>
  <si>
    <t xml:space="preserve">North-star metric</t>
  </si>
  <si>
    <t xml:space="preserve">1 chỉ số duy nhất, VD: số lead đủ điều kiện/tuần</t>
  </si>
  <si>
    <t xml:space="preserve">Kênh chủ lực (chọn 1)</t>
  </si>
  <si>
    <t xml:space="preserve">TikTok / Facebook / Zalo OA</t>
  </si>
  <si>
    <t xml:space="preserve">Kênh phụ 1 (repurpose)</t>
  </si>
  <si>
    <t xml:space="preserve">VD: Instagram</t>
  </si>
  <si>
    <t xml:space="preserve">Kênh phụ 2 (repurpose)</t>
  </si>
  <si>
    <t xml:space="preserve">VD: YouTube Shorts</t>
  </si>
  <si>
    <t xml:space="preserve">BƯỚC 1 — IDEA BANK (Demand Harvesting)</t>
  </si>
  <si>
    <t xml:space="preserve">Mục tiêu 10-15 ý tưởng/tuần. Lấy từ trend/từ khóa/comment (outside-in), map Pillar+Awareness+Funnel. Người duyệt trước khi sản xuất.</t>
  </si>
  <si>
    <t xml:space="preserve">STT</t>
  </si>
  <si>
    <t xml:space="preserve">Ý tưởng (tiêu đề)</t>
  </si>
  <si>
    <t xml:space="preserve">Nguồn cầu</t>
  </si>
  <si>
    <t xml:space="preserve">Pillar</t>
  </si>
  <si>
    <t xml:space="preserve">Awareness</t>
  </si>
  <si>
    <t xml:space="preserve">Funnel</t>
  </si>
  <si>
    <t xml:space="preserve">Ưu tiên</t>
  </si>
  <si>
    <t xml:space="preserve">Trạng thái</t>
  </si>
  <si>
    <t xml:space="preserve">3 sai lầm khiến [đối tượng] mất tiền oan</t>
  </si>
  <si>
    <t xml:space="preserve">Comment khách</t>
  </si>
  <si>
    <t xml:space="preserve">Educational</t>
  </si>
  <si>
    <t xml:space="preserve">Problem-Aware</t>
  </si>
  <si>
    <t xml:space="preserve">TOFU</t>
  </si>
  <si>
    <t xml:space="preserve">Cao</t>
  </si>
  <si>
    <t xml:space="preserve">Approved</t>
  </si>
  <si>
    <t xml:space="preserve">Câu chuyện khách đạt kết quả X sau Y</t>
  </si>
  <si>
    <t xml:space="preserve">Inbox/Review</t>
  </si>
  <si>
    <t xml:space="preserve">Inspirational</t>
  </si>
  <si>
    <t xml:space="preserve">Solution-Aware</t>
  </si>
  <si>
    <t xml:space="preserve">MOFU</t>
  </si>
  <si>
    <t xml:space="preserve">Draft</t>
  </si>
  <si>
    <t xml:space="preserve">Bắt trend [âm thanh đang lên] + tip ngành</t>
  </si>
  <si>
    <t xml:space="preserve">TikTok Creative Center</t>
  </si>
  <si>
    <t xml:space="preserve">Entertainment</t>
  </si>
  <si>
    <t xml:space="preserve">Unaware</t>
  </si>
  <si>
    <t xml:space="preserve">TB</t>
  </si>
  <si>
    <t xml:space="preserve">Idea</t>
  </si>
  <si>
    <t xml:space="preserve">BƯỚC 2 — BATCH 1-TO-5 (VÍ DỤ MẪU — thay bằng nội dung của anh)</t>
  </si>
  <si>
    <t xml:space="preserve">1 CORE (video ngắn / FB long-form, KHÔNG phải YouTube dài) → xé thành 5 asset. AI viết 80%, người duyệt 20%.</t>
  </si>
  <si>
    <t xml:space="preserve">Vai trò</t>
  </si>
  <si>
    <t xml:space="preserve">Nền tảng</t>
  </si>
  <si>
    <t xml:space="preserve">Format</t>
  </si>
  <si>
    <t xml:space="preserve">Hook (3s đầu)</t>
  </si>
  <si>
    <t xml:space="preserve">Nội dung tóm tắt</t>
  </si>
  <si>
    <t xml:space="preserve">CTA</t>
  </si>
  <si>
    <t xml:space="preserve">Hashtag/Ghi chú</t>
  </si>
  <si>
    <t xml:space="preserve">CORE</t>
  </si>
  <si>
    <t xml:space="preserve">TikTok/FB</t>
  </si>
  <si>
    <t xml:space="preserve">Video 45s / Long-form post</t>
  </si>
  <si>
    <t xml:space="preserve">“90% người mới mắc lỗi này…”</t>
  </si>
  <si>
    <t xml:space="preserve">Nêu pain #1 + khung giải pháp 3 bước</t>
  </si>
  <si>
    <t xml:space="preserve">Comment 'TẢI' nhận checklist</t>
  </si>
  <si>
    <t xml:space="preserve">Gốc để repurpose</t>
  </si>
  <si>
    <t xml:space="preserve">Asset 1</t>
  </si>
  <si>
    <t xml:space="preserve">TikTok/Reels</t>
  </si>
  <si>
    <t xml:space="preserve">Video ngắn 30s</t>
  </si>
  <si>
    <t xml:space="preserve">Hook gây tò mò từ core</t>
  </si>
  <si>
    <t xml:space="preserve">1 tip rút từ core</t>
  </si>
  <si>
    <t xml:space="preserve">Inbox từ khóa X</t>
  </si>
  <si>
    <t xml:space="preserve">3-5 hashtag trend+niche</t>
  </si>
  <si>
    <t xml:space="preserve">Asset 2</t>
  </si>
  <si>
    <t xml:space="preserve">Instagram/FB</t>
  </si>
  <si>
    <t xml:space="preserve">Carousel 5-7 slide</t>
  </si>
  <si>
    <t xml:space="preserve">Slide 1: câu hỏi đau</t>
  </si>
  <si>
    <t xml:space="preserve">Main points của core thành slide</t>
  </si>
  <si>
    <t xml:space="preserve">Lưu bài + inbox nhận full</t>
  </si>
  <si>
    <t xml:space="preserve">TOFU/MOFU</t>
  </si>
  <si>
    <t xml:space="preserve">15-20 hashtag (IG)</t>
  </si>
  <si>
    <t xml:space="preserve">Asset 3</t>
  </si>
  <si>
    <t xml:space="preserve">FB/IG</t>
  </si>
  <si>
    <t xml:space="preserve">Quote card (Canva)</t>
  </si>
  <si>
    <t xml:space="preserve">1 câu chốt mạnh</t>
  </si>
  <si>
    <t xml:space="preserve">Trích 1 statement từ core</t>
  </si>
  <si>
    <t xml:space="preserve">Comment nhận tài liệu</t>
  </si>
  <si>
    <t xml:space="preserve">Graphic 1080x1080</t>
  </si>
  <si>
    <t xml:space="preserve">Asset 4</t>
  </si>
  <si>
    <t xml:space="preserve">Zalo OA</t>
  </si>
  <si>
    <t xml:space="preserve">Bài 100-300 từ</t>
  </si>
  <si>
    <t xml:space="preserve">Tiêu đề bám pain</t>
  </si>
  <si>
    <t xml:space="preserve">Diễn giải core cho audience local</t>
  </si>
  <si>
    <t xml:space="preserve">Nhận lead magnet qua Zalo</t>
  </si>
  <si>
    <t xml:space="preserve">Kênh OWNED — ưu tiên</t>
  </si>
  <si>
    <t xml:space="preserve">Asset 5</t>
  </si>
  <si>
    <t xml:space="preserve">Email/Story</t>
  </si>
  <si>
    <t xml:space="preserve">5-7 story / 1 email</t>
  </si>
  <si>
    <t xml:space="preserve">Frame 1: teaser</t>
  </si>
  <si>
    <t xml:space="preserve">Tóm tắt core + link</t>
  </si>
  <si>
    <t xml:space="preserve">Đăng ký tại landing page</t>
  </si>
  <si>
    <t xml:space="preserve">MOFU/BOFU</t>
  </si>
  <si>
    <t xml:space="preserve">Dẫn về owned list</t>
  </si>
  <si>
    <t xml:space="preserve">BƯỚC 3 — CONTENT CALENDAR (khung giờ VN)</t>
  </si>
  <si>
    <t xml:space="preserve">Cửa sổ vàng VN: Sáng 7-9h • Trưa 12-14h • Tối 19-21h. Nhất quán &gt; giờ vàng. Lên lịch tự động: Meta Suite/TikTok Scheduler/Publer/Zalo OA.</t>
  </si>
  <si>
    <t xml:space="preserve">Ngày</t>
  </si>
  <si>
    <t xml:space="preserve">Thứ</t>
  </si>
  <si>
    <t xml:space="preserve">Giờ đăng</t>
  </si>
  <si>
    <t xml:space="preserve">Chủ đề / Asset</t>
  </si>
  <si>
    <t xml:space="preserve">Link owned channel</t>
  </si>
  <si>
    <t xml:space="preserve">T2</t>
  </si>
  <si>
    <t xml:space="preserve">Thứ 2</t>
  </si>
  <si>
    <t xml:space="preserve">20:00</t>
  </si>
  <si>
    <t xml:space="preserve">TikTok</t>
  </si>
  <si>
    <t xml:space="preserve">Video 30s</t>
  </si>
  <si>
    <t xml:space="preserve">Asset 1 — 3 sai lầm</t>
  </si>
  <si>
    <t xml:space="preserve">Inbox 'X'</t>
  </si>
  <si>
    <t xml:space="preserve">ManyChat flow</t>
  </si>
  <si>
    <t xml:space="preserve">Scheduled</t>
  </si>
  <si>
    <t xml:space="preserve">20:30</t>
  </si>
  <si>
    <t xml:space="preserve">Facebook</t>
  </si>
  <si>
    <t xml:space="preserve">Long-form</t>
  </si>
  <si>
    <t xml:space="preserve">CORE — 3 sai lầm</t>
  </si>
  <si>
    <t xml:space="preserve">Comment 'TẢI'</t>
  </si>
  <si>
    <t xml:space="preserve">T3</t>
  </si>
  <si>
    <t xml:space="preserve">Thứ 3</t>
  </si>
  <si>
    <t xml:space="preserve">12:30</t>
  </si>
  <si>
    <t xml:space="preserve">Instagram</t>
  </si>
  <si>
    <t xml:space="preserve">Carousel</t>
  </si>
  <si>
    <t xml:space="preserve">Asset 2 — breakdown</t>
  </si>
  <si>
    <t xml:space="preserve">Lưu + inbox</t>
  </si>
  <si>
    <t xml:space="preserve">T4</t>
  </si>
  <si>
    <t xml:space="preserve">Thứ 4</t>
  </si>
  <si>
    <t xml:space="preserve">11:00</t>
  </si>
  <si>
    <t xml:space="preserve">Bài 200 từ</t>
  </si>
  <si>
    <t xml:space="preserve">Asset 4 — câu chuyện KH</t>
  </si>
  <si>
    <t xml:space="preserve">Nhận lead magnet</t>
  </si>
  <si>
    <t xml:space="preserve">T5</t>
  </si>
  <si>
    <t xml:space="preserve">Thứ 5</t>
  </si>
  <si>
    <t xml:space="preserve">Bắt trend ngành</t>
  </si>
  <si>
    <t xml:space="preserve">Follow + inbox</t>
  </si>
  <si>
    <t xml:space="preserve">T6</t>
  </si>
  <si>
    <t xml:space="preserve">Thứ 6</t>
  </si>
  <si>
    <t xml:space="preserve">19:00</t>
  </si>
  <si>
    <t xml:space="preserve">Quote card</t>
  </si>
  <si>
    <t xml:space="preserve">Promotional</t>
  </si>
  <si>
    <t xml:space="preserve">Product-Aware</t>
  </si>
  <si>
    <t xml:space="preserve">BOFU</t>
  </si>
  <si>
    <t xml:space="preserve">Asset 3 + soft offer</t>
  </si>
  <si>
    <t xml:space="preserve">Landing page</t>
  </si>
  <si>
    <t xml:space="preserve">Landing/Vercel</t>
  </si>
  <si>
    <t xml:space="preserve">T7</t>
  </si>
  <si>
    <t xml:space="preserve">Thứ 7</t>
  </si>
  <si>
    <t xml:space="preserve">YouTube</t>
  </si>
  <si>
    <t xml:space="preserve">Short</t>
  </si>
  <si>
    <t xml:space="preserve">Asset 5 cut</t>
  </si>
  <si>
    <t xml:space="preserve">Sub + link</t>
  </si>
  <si>
    <t xml:space="preserve">Owned list</t>
  </si>
  <si>
    <t xml:space="preserve">BƯỚC 4 — FUNNEL &amp; CTA (owned channel)</t>
  </si>
  <si>
    <t xml:space="preserve">Mỗi nội dung có 1 CTA dẫn về kênh sở hữu. TOFU dùng no-link để tránh bị bóp reach.</t>
  </si>
  <si>
    <t xml:space="preserve">Tầng</t>
  </si>
  <si>
    <t xml:space="preserve">Mục tiêu</t>
  </si>
  <si>
    <t xml:space="preserve">CTA mẫu (VN)</t>
  </si>
  <si>
    <t xml:space="preserve">Cơ chế</t>
  </si>
  <si>
    <t xml:space="preserve">Reach + nhận biết</t>
  </si>
  <si>
    <t xml:space="preserve">Comment 'TẢI' / Inbox từ khóa X</t>
  </si>
  <si>
    <t xml:space="preserve">No-link (tránh bóp reach) → DM automation (ManyChat/Zalo)</t>
  </si>
  <si>
    <t xml:space="preserve">Bắt lead vào owned list</t>
  </si>
  <si>
    <t xml:space="preserve">Nhận checklist/lead magnet miễn phí qua Zalo/Messenger</t>
  </si>
  <si>
    <t xml:space="preserve">Flow chatbot gửi lead magnet + lưu SĐT/Zalo/email</t>
  </si>
  <si>
    <t xml:space="preserve">Chuyển đổi</t>
  </si>
  <si>
    <t xml:space="preserve">Đăng ký / Mua tại landing page</t>
  </si>
  <si>
    <t xml:space="preserve">Landing page (Vercel) + offer + SePay VietQR</t>
  </si>
  <si>
    <t xml:space="preserve">BỘ CÔNG CỤ DÙNG NGAY (free-first)</t>
  </si>
  <si>
    <t xml:space="preserve">Combo tối thiểu chạy 1 người: Meta Business Suite + ManyChat + Zalo OA + Vercel + SePay/Telegram.</t>
  </si>
  <si>
    <t xml:space="preserve">Bước</t>
  </si>
  <si>
    <t xml:space="preserve">Công cụ</t>
  </si>
  <si>
    <t xml:space="preserve">Mục đích</t>
  </si>
  <si>
    <t xml:space="preserve">Chi phí</t>
  </si>
  <si>
    <t xml:space="preserve">Link</t>
  </si>
  <si>
    <t xml:space="preserve">Trạng thái setup</t>
  </si>
  <si>
    <t xml:space="preserve">1. Ý tưởng</t>
  </si>
  <si>
    <t xml:space="preserve">Trend âm thanh/hashtag VN</t>
  </si>
  <si>
    <t xml:space="preserve">Free</t>
  </si>
  <si>
    <t xml:space="preserve">ads.tiktok.com/business/creativecenter</t>
  </si>
  <si>
    <t xml:space="preserve">Chưa</t>
  </si>
  <si>
    <t xml:space="preserve">Google Trends VN</t>
  </si>
  <si>
    <t xml:space="preserve">Từ khóa đang tăng</t>
  </si>
  <si>
    <t xml:space="preserve">trends.google.com</t>
  </si>
  <si>
    <t xml:space="preserve">2. Sản xuất</t>
  </si>
  <si>
    <t xml:space="preserve">AI Agent Kit (này)</t>
  </si>
  <si>
    <t xml:space="preserve">Viết content 80%</t>
  </si>
  <si>
    <t xml:space="preserve">—</t>
  </si>
  <si>
    <t xml:space="preserve">Xong</t>
  </si>
  <si>
    <t xml:space="preserve">Canva</t>
  </si>
  <si>
    <t xml:space="preserve">Quote card, carousel</t>
  </si>
  <si>
    <t xml:space="preserve">Free/rẻ</t>
  </si>
  <si>
    <t xml:space="preserve">canva.com</t>
  </si>
  <si>
    <t xml:space="preserve">CapCut</t>
  </si>
  <si>
    <t xml:space="preserve">Dựng video ngắn</t>
  </si>
  <si>
    <t xml:space="preserve">capcut.com</t>
  </si>
  <si>
    <t xml:space="preserve">3. Lên lịch</t>
  </si>
  <si>
    <t xml:space="preserve">Meta Business Suite</t>
  </si>
  <si>
    <t xml:space="preserve">Lên lịch FB + IG</t>
  </si>
  <si>
    <t xml:space="preserve">business.facebook.com</t>
  </si>
  <si>
    <t xml:space="preserve">TikTok Scheduler</t>
  </si>
  <si>
    <t xml:space="preserve">Lên lịch TikTok (web)</t>
  </si>
  <si>
    <t xml:space="preserve">tiktok.com (web upload)</t>
  </si>
  <si>
    <t xml:space="preserve">Publer / Buffer</t>
  </si>
  <si>
    <t xml:space="preserve">Đa nền tảng</t>
  </si>
  <si>
    <t xml:space="preserve">Free tier</t>
  </si>
  <si>
    <t xml:space="preserve">publer.com / buffer.com</t>
  </si>
  <si>
    <t xml:space="preserve">Broadcast schedule</t>
  </si>
  <si>
    <t xml:space="preserve">oa.zalo.me</t>
  </si>
  <si>
    <t xml:space="preserve">4. Bắt lead</t>
  </si>
  <si>
    <t xml:space="preserve">ManyChat</t>
  </si>
  <si>
    <t xml:space="preserve">Automation Messenger/IG</t>
  </si>
  <si>
    <t xml:space="preserve">manychat.com</t>
  </si>
  <si>
    <t xml:space="preserve">Zalo OA chatbot/ZNS</t>
  </si>
  <si>
    <t xml:space="preserve">Bắt lead local</t>
  </si>
  <si>
    <t xml:space="preserve">Free→rẻ</t>
  </si>
  <si>
    <t xml:space="preserve">4. Landing</t>
  </si>
  <si>
    <t xml:space="preserve">Landing Page Builder + Vercel</t>
  </si>
  <si>
    <t xml:space="preserve">Landing page BOFU</t>
  </si>
  <si>
    <t xml:space="preserve">vercel.com</t>
  </si>
  <si>
    <t xml:space="preserve">5. Glue</t>
  </si>
  <si>
    <t xml:space="preserve">Make.com / Zapier</t>
  </si>
  <si>
    <t xml:space="preserve">Nối app không có webhook</t>
  </si>
  <si>
    <t xml:space="preserve">make.com / zapier.com</t>
  </si>
  <si>
    <t xml:space="preserve">5. Bán/giao</t>
  </si>
  <si>
    <t xml:space="preserve">SePay VietQR</t>
  </si>
  <si>
    <t xml:space="preserve">Thanh toán</t>
  </si>
  <si>
    <t xml:space="preserve">sepay.vn</t>
  </si>
  <si>
    <t xml:space="preserve">Telegram Bot</t>
  </si>
  <si>
    <t xml:space="preserve">Thông báo đơn</t>
  </si>
  <si>
    <t xml:space="preserve">t.me/BotFather</t>
  </si>
  <si>
    <t xml:space="preserve">6. Đo lường</t>
  </si>
  <si>
    <t xml:space="preserve">Meta/TikTok Analytics</t>
  </si>
  <si>
    <t xml:space="preserve">Theo dõi KPI</t>
  </si>
  <si>
    <t xml:space="preserve">trong app</t>
  </si>
  <si>
    <t xml:space="preserve">BƯỚC 6 — KPI TRACKER (đóng vòng)</t>
  </si>
  <si>
    <t xml:space="preserve">★ Lead mới = north-star. Tìm content thắng → nhân bản; cắt content thua; đổ ngược về Idea Bank. Review tuần 1-2h.</t>
  </si>
  <si>
    <t xml:space="preserve">Tuần</t>
  </si>
  <si>
    <t xml:space="preserve">Reach</t>
  </si>
  <si>
    <t xml:space="preserve">Engagement</t>
  </si>
  <si>
    <t xml:space="preserve">Saves</t>
  </si>
  <si>
    <t xml:space="preserve">Link clicks</t>
  </si>
  <si>
    <t xml:space="preserve">Lead mới ★</t>
  </si>
  <si>
    <t xml:space="preserve">Khách mua</t>
  </si>
  <si>
    <t xml:space="preserve">Tỷ lệ chốt</t>
  </si>
  <si>
    <t xml:space="preserve">Doanh thu (VND)</t>
  </si>
  <si>
    <t xml:space="preserve">Content thắng</t>
  </si>
  <si>
    <t xml:space="preserve">Content cắt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</si>
  <si>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</si>
  <si>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</si>
  <si>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</si>
  <si>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</si>
  <si>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</si>
  <si>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</si>
  <si>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</si>
  <si>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</si>
  <si>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TỔNG / TB</t>
  </si>
  <si>
    <t xml:space="preserve">REFERENCE — Pillars • Awareness • Timing • 80/20</t>
  </si>
  <si>
    <t xml:space="preserve">Trích từ Content Strategy Blueprint. Dùng để map ở Bước 1-2.</t>
  </si>
  <si>
    <t xml:space="preserve">Phân bổ Pillar</t>
  </si>
  <si>
    <t xml:space="preserve">Primary</t>
  </si>
  <si>
    <t xml:space="preserve">40%</t>
  </si>
  <si>
    <t xml:space="preserve">Chuyên môn lõi</t>
  </si>
  <si>
    <t xml:space="preserve">Secondary</t>
  </si>
  <si>
    <t xml:space="preserve">25%</t>
  </si>
  <si>
    <t xml:space="preserve">Củng cố uy tín</t>
  </si>
  <si>
    <t xml:space="preserve">Tertiary</t>
  </si>
  <si>
    <t xml:space="preserve">20%</t>
  </si>
  <si>
    <t xml:space="preserve">Gắn kết/cộng đồng</t>
  </si>
  <si>
    <t xml:space="preserve">15%</t>
  </si>
  <si>
    <t xml:space="preserve">Offer trực tiếp</t>
  </si>
  <si>
    <t xml:space="preserve">Tỷ lệ 80/20</t>
  </si>
  <si>
    <t xml:space="preserve">Value content</t>
  </si>
  <si>
    <t xml:space="preserve">80%</t>
  </si>
  <si>
    <t xml:space="preserve">Giáo dục/cảm hứng/giải trí</t>
  </si>
  <si>
    <t xml:space="preserve">Launch 70/30, Cold 90/10</t>
  </si>
  <si>
    <t xml:space="preserve">Phân bổ Awareness</t>
  </si>
  <si>
    <t xml:space="preserve">30%</t>
  </si>
  <si>
    <t xml:space="preserve">Mở rộng tệp</t>
  </si>
  <si>
    <t xml:space="preserve">Problem+Solution-Aware</t>
  </si>
  <si>
    <t xml:space="preserve">Xây niềm tin</t>
  </si>
  <si>
    <t xml:space="preserve">Nuôi lead</t>
  </si>
  <si>
    <t xml:space="preserve">Most-Aware</t>
  </si>
  <si>
    <t xml:space="preserve">10%</t>
  </si>
  <si>
    <t xml:space="preserve">Chốt trực tiếp</t>
  </si>
  <si>
    <t xml:space="preserve">Khung giờ vàng VN</t>
  </si>
  <si>
    <t xml:space="preserve">Sáng</t>
  </si>
  <si>
    <t xml:space="preserve">7:00-9:00</t>
  </si>
  <si>
    <t xml:space="preserve">Commute/cà phê</t>
  </si>
  <si>
    <t xml:space="preserve">Trưa</t>
  </si>
  <si>
    <t xml:space="preserve">12:00-14:00</t>
  </si>
  <si>
    <t xml:space="preserve">Nghỉ trưa</t>
  </si>
  <si>
    <t xml:space="preserve">Tối</t>
  </si>
  <si>
    <t xml:space="preserve">19:00-21:00</t>
  </si>
  <si>
    <t xml:space="preserve">Prime time — mạnh nhất</t>
  </si>
  <si>
    <t xml:space="preserve">Tần suất theo nền tảng</t>
  </si>
  <si>
    <t xml:space="preserve">3-5x/tuần</t>
  </si>
  <si>
    <t xml:space="preserve">8:00, 12:30, 20:00</t>
  </si>
  <si>
    <t xml:space="preserve">4-7x/tuần</t>
  </si>
  <si>
    <t xml:space="preserve">12:00, 20:00</t>
  </si>
  <si>
    <t xml:space="preserve">5-7x/tuần</t>
  </si>
  <si>
    <t xml:space="preserve">7:00, 12:00, 20:00, 22:00</t>
  </si>
  <si>
    <t xml:space="preserve">YouTube Shorts</t>
  </si>
  <si>
    <t xml:space="preserve">2-4x/tuần</t>
  </si>
  <si>
    <t xml:space="preserve">11:00 hoặc 20:00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</si>
</sst>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42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27.75" hidden="false" customHeight="true" outlineLevel="0" collapsed="false">
      <c r="A2" s="3" t="s">
        <v>1</v>
      </c>
      <c r="B2" s="3"/>
      <c r="C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30" hidden="false" customHeight="true" outlineLevel="0" collapsed="false">
      <c r="A5" s="5" t="s">
        <v>5</v>
      </c>
      <c r="B5" s="6"/>
      <c r="C5" s="7" t="s">
        <v>6</v>
      </c>
    </row>
    <row r="6" customFormat="false" ht="30" hidden="false" customHeight="true" outlineLevel="0" collapsed="false">
      <c r="A6" s="5" t="s">
        <v>7</v>
      </c>
      <c r="B6" s="6"/>
      <c r="C6" s="7" t="s">
        <v>8</v>
      </c>
    </row>
    <row r="7" customFormat="false" ht="30" hidden="false" customHeight="true" outlineLevel="0" collapsed="false">
      <c r="A7" s="5" t="s">
        <v>9</v>
      </c>
      <c r="B7" s="6"/>
      <c r="C7" s="7" t="s">
        <v>10</v>
      </c>
    </row>
    <row r="8" customFormat="false" ht="30" hidden="false" customHeight="true" outlineLevel="0" collapsed="false">
      <c r="A8" s="5" t="s">
        <v>11</v>
      </c>
      <c r="B8" s="6"/>
      <c r="C8" s="7" t="s">
        <v>12</v>
      </c>
    </row>
    <row r="9" customFormat="false" ht="30" hidden="false" customHeight="true" outlineLevel="0" collapsed="false">
      <c r="A9" s="5" t="s">
        <v>13</v>
      </c>
      <c r="B9" s="6"/>
      <c r="C9" s="7" t="s">
        <v>14</v>
      </c>
    </row>
    <row r="10" customFormat="false" ht="30" hidden="false" customHeight="true" outlineLevel="0" collapsed="false">
      <c r="A10" s="5" t="s">
        <v>15</v>
      </c>
      <c r="B10" s="6"/>
      <c r="C10" s="7" t="s">
        <v>16</v>
      </c>
    </row>
    <row r="11" customFormat="false" ht="30" hidden="false" customHeight="true" outlineLevel="0" collapsed="false">
      <c r="A11" s="5" t="s">
        <v>17</v>
      </c>
      <c r="B11" s="6"/>
      <c r="C11" s="7" t="s">
        <v>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7" min="6" style="1" width="9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2" t="s">
        <v>19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20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</row>
    <row r="5" customFormat="false" ht="15" hidden="false" customHeight="false" outlineLevel="0" collapsed="false">
      <c r="A5" s="8" t="n">
        <v>1</v>
      </c>
      <c r="B5" s="9" t="s">
        <v>29</v>
      </c>
      <c r="C5" s="9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</row>
    <row r="6" customFormat="false" ht="15" hidden="false" customHeight="false" outlineLevel="0" collapsed="false">
      <c r="A6" s="8" t="n">
        <v>2</v>
      </c>
      <c r="B6" s="9" t="s">
        <v>36</v>
      </c>
      <c r="C6" s="9" t="s">
        <v>37</v>
      </c>
      <c r="D6" s="8" t="s">
        <v>38</v>
      </c>
      <c r="E6" s="8" t="s">
        <v>39</v>
      </c>
      <c r="F6" s="8" t="s">
        <v>40</v>
      </c>
      <c r="G6" s="8" t="s">
        <v>34</v>
      </c>
      <c r="H6" s="8" t="s">
        <v>41</v>
      </c>
    </row>
    <row r="7" customFormat="false" ht="15" hidden="false" customHeight="false" outlineLevel="0" collapsed="false">
      <c r="A7" s="8" t="n">
        <v>3</v>
      </c>
      <c r="B7" s="9" t="s">
        <v>42</v>
      </c>
      <c r="C7" s="9" t="s">
        <v>43</v>
      </c>
      <c r="D7" s="8" t="s">
        <v>44</v>
      </c>
      <c r="E7" s="8" t="s">
        <v>45</v>
      </c>
      <c r="F7" s="8" t="s">
        <v>33</v>
      </c>
      <c r="G7" s="8" t="s">
        <v>46</v>
      </c>
      <c r="H7" s="8" t="s">
        <v>47</v>
      </c>
    </row>
    <row r="8" customFormat="false" ht="15" hidden="false" customHeight="false" outlineLevel="0" collapsed="false">
      <c r="A8" s="8" t="n">
        <v>4</v>
      </c>
      <c r="B8" s="6"/>
      <c r="C8" s="6"/>
      <c r="D8" s="10"/>
      <c r="E8" s="10"/>
      <c r="F8" s="10"/>
      <c r="G8" s="10"/>
      <c r="H8" s="10"/>
    </row>
    <row r="9" customFormat="false" ht="15" hidden="false" customHeight="false" outlineLevel="0" collapsed="false">
      <c r="A9" s="8" t="n">
        <v>5</v>
      </c>
      <c r="B9" s="6"/>
      <c r="C9" s="6"/>
      <c r="D9" s="10"/>
      <c r="E9" s="10"/>
      <c r="F9" s="10"/>
      <c r="G9" s="10"/>
      <c r="H9" s="10"/>
    </row>
    <row r="10" customFormat="false" ht="15" hidden="false" customHeight="false" outlineLevel="0" collapsed="false">
      <c r="A10" s="8" t="n">
        <v>6</v>
      </c>
      <c r="B10" s="6"/>
      <c r="C10" s="6"/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8" t="n">
        <v>7</v>
      </c>
      <c r="B11" s="6"/>
      <c r="C11" s="6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8" t="n">
        <v>8</v>
      </c>
      <c r="B12" s="6"/>
      <c r="C12" s="6"/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8" t="n">
        <v>9</v>
      </c>
      <c r="B13" s="6"/>
      <c r="C13" s="6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8" t="n">
        <v>10</v>
      </c>
      <c r="B14" s="6"/>
      <c r="C14" s="6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8" t="n">
        <v>11</v>
      </c>
      <c r="B15" s="6"/>
      <c r="C15" s="6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8" t="n">
        <v>12</v>
      </c>
      <c r="B16" s="6"/>
      <c r="C16" s="6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8" t="n">
        <v>13</v>
      </c>
      <c r="B17" s="6"/>
      <c r="C17" s="6"/>
      <c r="D17" s="10"/>
      <c r="E17" s="10"/>
      <c r="F17" s="10"/>
      <c r="G17" s="10"/>
      <c r="H17" s="10"/>
    </row>
    <row r="18" customFormat="false" ht="15" hidden="false" customHeight="false" outlineLevel="0" collapsed="false">
      <c r="A18" s="8" t="n">
        <v>14</v>
      </c>
      <c r="B18" s="6"/>
      <c r="C18" s="6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8" t="n">
        <v>15</v>
      </c>
      <c r="B19" s="6"/>
      <c r="C19" s="6"/>
      <c r="D19" s="10"/>
      <c r="E19" s="10"/>
      <c r="F19" s="10"/>
      <c r="G19" s="10"/>
      <c r="H19" s="10"/>
    </row>
  </sheetData>
  <mergeCells count="2">
    <mergeCell ref="A1:H1"/>
    <mergeCell ref="A2:H2"/>
  </mergeCells>
  <dataValidations count="5">
    <dataValidation allowBlank="true" errorStyle="stop" operator="between" showDropDown="false" showErrorMessage="false" showInputMessage="false" sqref="D5:D19" type="list">
      <formula1>"Educational,Inspirational,Promotional,Entertainment,Behind-the-Scenes"</formula1>
      <formula2>0</formula2>
    </dataValidation>
    <dataValidation allowBlank="true" errorStyle="stop" operator="between" showDropDown="false" showErrorMessage="false" showInputMessage="false" sqref="E5:E19" type="list">
      <formula1>"Unaware,Problem-Aware,Solution-Aware,Product-Aware,Most-Aware"</formula1>
      <formula2>0</formula2>
    </dataValidation>
    <dataValidation allowBlank="true" errorStyle="stop" operator="between" showDropDown="false" showErrorMessage="false" showInputMessage="false" sqref="F5:F19" type="list">
      <formula1>"TOFU,MOFU,BOFU"</formula1>
      <formula2>0</formula2>
    </dataValidation>
    <dataValidation allowBlank="true" errorStyle="stop" operator="between" showDropDown="false" showErrorMessage="false" showInputMessage="false" sqref="G5:G19" type="list">
      <formula1>"Cao,TB,Thấp"</formula1>
      <formula2>0</formula2>
    </dataValidation>
    <dataValidation allowBlank="true" errorStyle="stop" operator="between" showDropDown="false" showErrorMessage="false" showInputMessage="false" sqref="H5:H19" type="list">
      <formula1>"Idea,Draft,Approved,Scheduled,Posted"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7" min="7" style="1" width="11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48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49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26</v>
      </c>
      <c r="H4" s="4" t="s">
        <v>56</v>
      </c>
    </row>
    <row r="5" customFormat="false" ht="45.75" hidden="false" customHeight="true" outlineLevel="0" collapsed="false">
      <c r="A5" s="11" t="s">
        <v>57</v>
      </c>
      <c r="B5" s="12" t="s">
        <v>58</v>
      </c>
      <c r="C5" s="12" t="s">
        <v>59</v>
      </c>
      <c r="D5" s="13" t="s">
        <v>60</v>
      </c>
      <c r="E5" s="13" t="s">
        <v>61</v>
      </c>
      <c r="F5" s="12" t="s">
        <v>62</v>
      </c>
      <c r="G5" s="12" t="s">
        <v>33</v>
      </c>
      <c r="H5" s="13" t="s">
        <v>63</v>
      </c>
    </row>
    <row r="6" customFormat="false" ht="45.75" hidden="false" customHeight="true" outlineLevel="0" collapsed="false">
      <c r="A6" s="8" t="s">
        <v>64</v>
      </c>
      <c r="B6" s="8" t="s">
        <v>65</v>
      </c>
      <c r="C6" s="8" t="s">
        <v>66</v>
      </c>
      <c r="D6" s="14" t="s">
        <v>67</v>
      </c>
      <c r="E6" s="14" t="s">
        <v>68</v>
      </c>
      <c r="F6" s="8" t="s">
        <v>69</v>
      </c>
      <c r="G6" s="8" t="s">
        <v>33</v>
      </c>
      <c r="H6" s="14" t="s">
        <v>70</v>
      </c>
    </row>
    <row r="7" customFormat="false" ht="45.75" hidden="false" customHeight="true" outlineLevel="0" collapsed="false">
      <c r="A7" s="8" t="s">
        <v>71</v>
      </c>
      <c r="B7" s="8" t="s">
        <v>72</v>
      </c>
      <c r="C7" s="8" t="s">
        <v>73</v>
      </c>
      <c r="D7" s="14" t="s">
        <v>74</v>
      </c>
      <c r="E7" s="14" t="s">
        <v>75</v>
      </c>
      <c r="F7" s="8" t="s">
        <v>76</v>
      </c>
      <c r="G7" s="8" t="s">
        <v>77</v>
      </c>
      <c r="H7" s="14" t="s">
        <v>78</v>
      </c>
    </row>
    <row r="8" customFormat="false" ht="45.75" hidden="false" customHeight="true" outlineLevel="0" collapsed="false">
      <c r="A8" s="8" t="s">
        <v>79</v>
      </c>
      <c r="B8" s="8" t="s">
        <v>80</v>
      </c>
      <c r="C8" s="8" t="s">
        <v>81</v>
      </c>
      <c r="D8" s="14" t="s">
        <v>82</v>
      </c>
      <c r="E8" s="14" t="s">
        <v>83</v>
      </c>
      <c r="F8" s="8" t="s">
        <v>84</v>
      </c>
      <c r="G8" s="8" t="s">
        <v>33</v>
      </c>
      <c r="H8" s="14" t="s">
        <v>85</v>
      </c>
    </row>
    <row r="9" customFormat="false" ht="45.75" hidden="false" customHeight="true" outlineLevel="0" collapsed="false">
      <c r="A9" s="8" t="s">
        <v>86</v>
      </c>
      <c r="B9" s="8" t="s">
        <v>87</v>
      </c>
      <c r="C9" s="8" t="s">
        <v>88</v>
      </c>
      <c r="D9" s="14" t="s">
        <v>89</v>
      </c>
      <c r="E9" s="14" t="s">
        <v>90</v>
      </c>
      <c r="F9" s="8" t="s">
        <v>91</v>
      </c>
      <c r="G9" s="8" t="s">
        <v>40</v>
      </c>
      <c r="H9" s="14" t="s">
        <v>92</v>
      </c>
    </row>
    <row r="10" customFormat="false" ht="45.75" hidden="false" customHeight="true" outlineLevel="0" collapsed="false">
      <c r="A10" s="8" t="s">
        <v>93</v>
      </c>
      <c r="B10" s="8" t="s">
        <v>94</v>
      </c>
      <c r="C10" s="8" t="s">
        <v>95</v>
      </c>
      <c r="D10" s="14" t="s">
        <v>96</v>
      </c>
      <c r="E10" s="14" t="s">
        <v>97</v>
      </c>
      <c r="F10" s="8" t="s">
        <v>98</v>
      </c>
      <c r="G10" s="8" t="s">
        <v>99</v>
      </c>
      <c r="H10" s="14" t="s">
        <v>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6" activeCellId="0" sqref="H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5"/>
    <col collapsed="false" customWidth="true" hidden="false" outlineLevel="0" max="8" min="8" style="1" width="9"/>
    <col collapsed="false" customWidth="true" hidden="false" outlineLevel="0" max="9" min="9" style="1" width="24"/>
    <col collapsed="false" customWidth="true" hidden="false" outlineLevel="0" max="11" min="10" style="1" width="16"/>
    <col collapsed="false" customWidth="true" hidden="false" outlineLevel="0" max="12" min="12" style="1" width="12"/>
  </cols>
  <sheetData>
    <row r="1" customFormat="false" ht="27.7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85" hidden="false" customHeight="false" outlineLevel="0" collapsed="false">
      <c r="A4" s="4" t="s">
        <v>103</v>
      </c>
      <c r="B4" s="4" t="s">
        <v>104</v>
      </c>
      <c r="C4" s="4" t="s">
        <v>105</v>
      </c>
      <c r="D4" s="4" t="s">
        <v>51</v>
      </c>
      <c r="E4" s="4" t="s">
        <v>52</v>
      </c>
      <c r="F4" s="4" t="s">
        <v>24</v>
      </c>
      <c r="G4" s="4" t="s">
        <v>25</v>
      </c>
      <c r="H4" s="4" t="s">
        <v>26</v>
      </c>
      <c r="I4" s="4" t="s">
        <v>106</v>
      </c>
      <c r="J4" s="4" t="s">
        <v>55</v>
      </c>
      <c r="K4" s="4" t="s">
        <v>107</v>
      </c>
      <c r="L4" s="4" t="s">
        <v>28</v>
      </c>
    </row>
    <row r="5" customFormat="false" ht="15" hidden="false" customHeight="false" outlineLevel="0" collapsed="false">
      <c r="A5" s="8" t="s">
        <v>108</v>
      </c>
      <c r="B5" s="8" t="s">
        <v>109</v>
      </c>
      <c r="C5" s="8" t="s">
        <v>110</v>
      </c>
      <c r="D5" s="8" t="s">
        <v>111</v>
      </c>
      <c r="E5" s="9" t="s">
        <v>112</v>
      </c>
      <c r="F5" s="8" t="s">
        <v>31</v>
      </c>
      <c r="G5" s="8" t="s">
        <v>32</v>
      </c>
      <c r="H5" s="8" t="s">
        <v>33</v>
      </c>
      <c r="I5" s="9" t="s">
        <v>113</v>
      </c>
      <c r="J5" s="9" t="s">
        <v>114</v>
      </c>
      <c r="K5" s="9" t="s">
        <v>115</v>
      </c>
      <c r="L5" s="8" t="s">
        <v>116</v>
      </c>
    </row>
    <row r="6" customFormat="false" ht="15" hidden="false" customHeight="false" outlineLevel="0" collapsed="false">
      <c r="A6" s="8" t="s">
        <v>108</v>
      </c>
      <c r="B6" s="8" t="s">
        <v>109</v>
      </c>
      <c r="C6" s="8" t="s">
        <v>117</v>
      </c>
      <c r="D6" s="8" t="s">
        <v>118</v>
      </c>
      <c r="E6" s="9" t="s">
        <v>119</v>
      </c>
      <c r="F6" s="8" t="s">
        <v>31</v>
      </c>
      <c r="G6" s="8" t="s">
        <v>32</v>
      </c>
      <c r="H6" s="8" t="s">
        <v>33</v>
      </c>
      <c r="I6" s="9" t="s">
        <v>120</v>
      </c>
      <c r="J6" s="9" t="s">
        <v>121</v>
      </c>
      <c r="K6" s="9" t="s">
        <v>115</v>
      </c>
      <c r="L6" s="8" t="s">
        <v>116</v>
      </c>
    </row>
    <row r="7" customFormat="false" ht="15" hidden="false" customHeight="false" outlineLevel="0" collapsed="false">
      <c r="A7" s="8" t="s">
        <v>122</v>
      </c>
      <c r="B7" s="8" t="s">
        <v>123</v>
      </c>
      <c r="C7" s="8" t="s">
        <v>124</v>
      </c>
      <c r="D7" s="8" t="s">
        <v>125</v>
      </c>
      <c r="E7" s="9" t="s">
        <v>126</v>
      </c>
      <c r="F7" s="8" t="s">
        <v>31</v>
      </c>
      <c r="G7" s="8" t="s">
        <v>39</v>
      </c>
      <c r="H7" s="8" t="s">
        <v>40</v>
      </c>
      <c r="I7" s="9" t="s">
        <v>127</v>
      </c>
      <c r="J7" s="9" t="s">
        <v>128</v>
      </c>
      <c r="K7" s="9" t="s">
        <v>115</v>
      </c>
      <c r="L7" s="8" t="s">
        <v>41</v>
      </c>
    </row>
    <row r="8" customFormat="false" ht="15" hidden="false" customHeight="false" outlineLevel="0" collapsed="false">
      <c r="A8" s="8" t="s">
        <v>129</v>
      </c>
      <c r="B8" s="8" t="s">
        <v>130</v>
      </c>
      <c r="C8" s="8" t="s">
        <v>131</v>
      </c>
      <c r="D8" s="8" t="s">
        <v>87</v>
      </c>
      <c r="E8" s="9" t="s">
        <v>132</v>
      </c>
      <c r="F8" s="8" t="s">
        <v>38</v>
      </c>
      <c r="G8" s="8" t="s">
        <v>39</v>
      </c>
      <c r="H8" s="8" t="s">
        <v>40</v>
      </c>
      <c r="I8" s="9" t="s">
        <v>133</v>
      </c>
      <c r="J8" s="9" t="s">
        <v>134</v>
      </c>
      <c r="K8" s="9" t="s">
        <v>87</v>
      </c>
      <c r="L8" s="8" t="s">
        <v>41</v>
      </c>
    </row>
    <row r="9" customFormat="false" ht="15" hidden="false" customHeight="false" outlineLevel="0" collapsed="false">
      <c r="A9" s="8" t="s">
        <v>135</v>
      </c>
      <c r="B9" s="8" t="s">
        <v>136</v>
      </c>
      <c r="C9" s="8" t="s">
        <v>110</v>
      </c>
      <c r="D9" s="8" t="s">
        <v>111</v>
      </c>
      <c r="E9" s="9" t="s">
        <v>112</v>
      </c>
      <c r="F9" s="8" t="s">
        <v>44</v>
      </c>
      <c r="G9" s="8" t="s">
        <v>45</v>
      </c>
      <c r="H9" s="8" t="s">
        <v>33</v>
      </c>
      <c r="I9" s="9" t="s">
        <v>137</v>
      </c>
      <c r="J9" s="9" t="s">
        <v>138</v>
      </c>
      <c r="K9" s="9" t="s">
        <v>115</v>
      </c>
      <c r="L9" s="8" t="s">
        <v>47</v>
      </c>
    </row>
    <row r="10" customFormat="false" ht="15" hidden="false" customHeight="false" outlineLevel="0" collapsed="false">
      <c r="A10" s="8" t="s">
        <v>139</v>
      </c>
      <c r="B10" s="8" t="s">
        <v>140</v>
      </c>
      <c r="C10" s="8" t="s">
        <v>141</v>
      </c>
      <c r="D10" s="8" t="s">
        <v>80</v>
      </c>
      <c r="E10" s="9" t="s">
        <v>142</v>
      </c>
      <c r="F10" s="8" t="s">
        <v>143</v>
      </c>
      <c r="G10" s="8" t="s">
        <v>144</v>
      </c>
      <c r="H10" s="8" t="s">
        <v>145</v>
      </c>
      <c r="I10" s="9" t="s">
        <v>146</v>
      </c>
      <c r="J10" s="9" t="s">
        <v>147</v>
      </c>
      <c r="K10" s="9" t="s">
        <v>148</v>
      </c>
      <c r="L10" s="8" t="s">
        <v>47</v>
      </c>
    </row>
    <row r="11" customFormat="false" ht="15" hidden="false" customHeight="false" outlineLevel="0" collapsed="false">
      <c r="A11" s="8" t="s">
        <v>149</v>
      </c>
      <c r="B11" s="8" t="s">
        <v>150</v>
      </c>
      <c r="C11" s="8" t="s">
        <v>110</v>
      </c>
      <c r="D11" s="8" t="s">
        <v>151</v>
      </c>
      <c r="E11" s="9" t="s">
        <v>152</v>
      </c>
      <c r="F11" s="8" t="s">
        <v>31</v>
      </c>
      <c r="G11" s="8" t="s">
        <v>39</v>
      </c>
      <c r="H11" s="8" t="s">
        <v>33</v>
      </c>
      <c r="I11" s="9" t="s">
        <v>153</v>
      </c>
      <c r="J11" s="9" t="s">
        <v>154</v>
      </c>
      <c r="K11" s="9" t="s">
        <v>155</v>
      </c>
      <c r="L11" s="8" t="s">
        <v>47</v>
      </c>
    </row>
    <row r="12" customFormat="false" ht="15" hidden="false" customHeight="false" outlineLevel="0" collapsed="false">
      <c r="A12" s="10"/>
      <c r="B12" s="10"/>
      <c r="C12" s="10"/>
      <c r="D12" s="10"/>
      <c r="E12" s="6"/>
      <c r="F12" s="10"/>
      <c r="G12" s="10"/>
      <c r="H12" s="10"/>
      <c r="I12" s="6"/>
      <c r="J12" s="6"/>
      <c r="K12" s="6"/>
      <c r="L12" s="10"/>
    </row>
    <row r="13" customFormat="false" ht="15" hidden="false" customHeight="false" outlineLevel="0" collapsed="false">
      <c r="A13" s="10"/>
      <c r="B13" s="10"/>
      <c r="C13" s="10"/>
      <c r="D13" s="10"/>
      <c r="E13" s="6"/>
      <c r="F13" s="10"/>
      <c r="G13" s="10"/>
      <c r="H13" s="10"/>
      <c r="I13" s="6"/>
      <c r="J13" s="6"/>
      <c r="K13" s="6"/>
      <c r="L13" s="10"/>
    </row>
    <row r="14" customFormat="false" ht="15" hidden="false" customHeight="false" outlineLevel="0" collapsed="false">
      <c r="A14" s="10"/>
      <c r="B14" s="10"/>
      <c r="C14" s="10"/>
      <c r="D14" s="10"/>
      <c r="E14" s="6"/>
      <c r="F14" s="10"/>
      <c r="G14" s="10"/>
      <c r="H14" s="10"/>
      <c r="I14" s="6"/>
      <c r="J14" s="6"/>
      <c r="K14" s="6"/>
      <c r="L14" s="10"/>
    </row>
    <row r="15" customFormat="false" ht="15" hidden="false" customHeight="false" outlineLevel="0" collapsed="false">
      <c r="A15" s="10"/>
      <c r="B15" s="10"/>
      <c r="C15" s="10"/>
      <c r="D15" s="10"/>
      <c r="E15" s="6"/>
      <c r="F15" s="10"/>
      <c r="G15" s="10"/>
      <c r="H15" s="10"/>
      <c r="I15" s="6"/>
      <c r="J15" s="6"/>
      <c r="K15" s="6"/>
      <c r="L15" s="10"/>
    </row>
    <row r="16" customFormat="false" ht="15" hidden="false" customHeight="false" outlineLevel="0" collapsed="false">
      <c r="A16" s="10"/>
      <c r="B16" s="10"/>
      <c r="C16" s="10"/>
      <c r="D16" s="10"/>
      <c r="E16" s="6"/>
      <c r="F16" s="10"/>
      <c r="G16" s="10"/>
      <c r="H16" s="10"/>
      <c r="I16" s="6"/>
      <c r="J16" s="6"/>
      <c r="K16" s="6"/>
      <c r="L16" s="10"/>
    </row>
    <row r="17" customFormat="false" ht="15" hidden="false" customHeight="false" outlineLevel="0" collapsed="false">
      <c r="A17" s="10"/>
      <c r="B17" s="10"/>
      <c r="C17" s="10"/>
      <c r="D17" s="10"/>
      <c r="E17" s="6"/>
      <c r="F17" s="10"/>
      <c r="G17" s="10"/>
      <c r="H17" s="10"/>
      <c r="I17" s="6"/>
      <c r="J17" s="6"/>
      <c r="K17" s="6"/>
      <c r="L17" s="10"/>
    </row>
    <row r="18" customFormat="false" ht="15" hidden="false" customHeight="false" outlineLevel="0" collapsed="false">
      <c r="A18" s="10"/>
      <c r="B18" s="10"/>
      <c r="C18" s="10"/>
      <c r="D18" s="10"/>
      <c r="E18" s="6"/>
      <c r="F18" s="10"/>
      <c r="G18" s="10"/>
      <c r="H18" s="10"/>
      <c r="I18" s="6"/>
      <c r="J18" s="6"/>
      <c r="K18" s="6"/>
      <c r="L18" s="10"/>
    </row>
    <row r="19" customFormat="false" ht="15" hidden="false" customHeight="false" outlineLevel="0" collapsed="false">
      <c r="A19" s="10"/>
      <c r="B19" s="10"/>
      <c r="C19" s="10"/>
      <c r="D19" s="10"/>
      <c r="E19" s="6"/>
      <c r="F19" s="10"/>
      <c r="G19" s="10"/>
      <c r="H19" s="10"/>
      <c r="I19" s="6"/>
      <c r="J19" s="6"/>
      <c r="K19" s="6"/>
      <c r="L19" s="10"/>
    </row>
    <row r="20" customFormat="false" ht="15" hidden="false" customHeight="false" outlineLevel="0" collapsed="false">
      <c r="A20" s="10"/>
      <c r="B20" s="10"/>
      <c r="C20" s="10"/>
      <c r="D20" s="10"/>
      <c r="E20" s="6"/>
      <c r="F20" s="10"/>
      <c r="G20" s="10"/>
      <c r="H20" s="10"/>
      <c r="I20" s="6"/>
      <c r="J20" s="6"/>
      <c r="K20" s="6"/>
      <c r="L20" s="10"/>
    </row>
    <row r="21" customFormat="false" ht="15" hidden="false" customHeight="false" outlineLevel="0" collapsed="false">
      <c r="A21" s="10"/>
      <c r="B21" s="10"/>
      <c r="C21" s="10"/>
      <c r="D21" s="10"/>
      <c r="E21" s="6"/>
      <c r="F21" s="10"/>
      <c r="G21" s="10"/>
      <c r="H21" s="10"/>
      <c r="I21" s="6"/>
      <c r="J21" s="6"/>
      <c r="K21" s="6"/>
      <c r="L21" s="10"/>
    </row>
    <row r="22" customFormat="false" ht="15" hidden="false" customHeight="false" outlineLevel="0" collapsed="false">
      <c r="A22" s="10"/>
      <c r="B22" s="10"/>
      <c r="C22" s="10"/>
      <c r="D22" s="10"/>
      <c r="E22" s="6"/>
      <c r="F22" s="10"/>
      <c r="G22" s="10"/>
      <c r="H22" s="10"/>
      <c r="I22" s="6"/>
      <c r="J22" s="6"/>
      <c r="K22" s="6"/>
      <c r="L22" s="10"/>
    </row>
    <row r="23" customFormat="false" ht="15" hidden="false" customHeight="false" outlineLevel="0" collapsed="false">
      <c r="A23" s="10"/>
      <c r="B23" s="10"/>
      <c r="C23" s="10"/>
      <c r="D23" s="10"/>
      <c r="E23" s="6"/>
      <c r="F23" s="10"/>
      <c r="G23" s="10"/>
      <c r="H23" s="10"/>
      <c r="I23" s="6"/>
      <c r="J23" s="6"/>
      <c r="K23" s="6"/>
      <c r="L23" s="10"/>
    </row>
    <row r="24" customFormat="false" ht="15" hidden="false" customHeight="false" outlineLevel="0" collapsed="false">
      <c r="A24" s="10"/>
      <c r="B24" s="10"/>
      <c r="C24" s="10"/>
      <c r="D24" s="10"/>
      <c r="E24" s="6"/>
      <c r="F24" s="10"/>
      <c r="G24" s="10"/>
      <c r="H24" s="10"/>
      <c r="I24" s="6"/>
      <c r="J24" s="6"/>
      <c r="K24" s="6"/>
      <c r="L24" s="10"/>
    </row>
    <row r="25" customFormat="false" ht="15" hidden="false" customHeight="false" outlineLevel="0" collapsed="false">
      <c r="A25" s="10"/>
      <c r="B25" s="10"/>
      <c r="C25" s="10"/>
      <c r="D25" s="10"/>
      <c r="E25" s="6"/>
      <c r="F25" s="10"/>
      <c r="G25" s="10"/>
      <c r="H25" s="10"/>
      <c r="I25" s="6"/>
      <c r="J25" s="6"/>
      <c r="K25" s="6"/>
      <c r="L25" s="10"/>
    </row>
    <row r="26" customFormat="false" ht="15" hidden="false" customHeight="false" outlineLevel="0" collapsed="false">
      <c r="A26" s="10"/>
      <c r="B26" s="10"/>
      <c r="C26" s="10"/>
      <c r="D26" s="10"/>
      <c r="E26" s="6"/>
      <c r="F26" s="10"/>
      <c r="G26" s="10"/>
      <c r="H26" s="10"/>
      <c r="I26" s="6"/>
      <c r="J26" s="6"/>
      <c r="K26" s="6"/>
      <c r="L26" s="10"/>
    </row>
    <row r="27" customFormat="false" ht="15" hidden="false" customHeight="false" outlineLevel="0" collapsed="false">
      <c r="A27" s="10"/>
      <c r="B27" s="10"/>
      <c r="C27" s="10"/>
      <c r="D27" s="10"/>
      <c r="E27" s="6"/>
      <c r="F27" s="10"/>
      <c r="G27" s="10"/>
      <c r="H27" s="10"/>
      <c r="I27" s="6"/>
      <c r="J27" s="6"/>
      <c r="K27" s="6"/>
      <c r="L27" s="10"/>
    </row>
    <row r="28" customFormat="false" ht="15" hidden="false" customHeight="false" outlineLevel="0" collapsed="false">
      <c r="A28" s="10"/>
      <c r="B28" s="10"/>
      <c r="C28" s="10"/>
      <c r="D28" s="10"/>
      <c r="E28" s="6"/>
      <c r="F28" s="10"/>
      <c r="G28" s="10"/>
      <c r="H28" s="10"/>
      <c r="I28" s="6"/>
      <c r="J28" s="6"/>
      <c r="K28" s="6"/>
      <c r="L28" s="10"/>
    </row>
    <row r="29" customFormat="false" ht="15" hidden="false" customHeight="false" outlineLevel="0" collapsed="false">
      <c r="A29" s="10"/>
      <c r="B29" s="10"/>
      <c r="C29" s="10"/>
      <c r="D29" s="10"/>
      <c r="E29" s="6"/>
      <c r="F29" s="10"/>
      <c r="G29" s="10"/>
      <c r="H29" s="10"/>
      <c r="I29" s="6"/>
      <c r="J29" s="6"/>
      <c r="K29" s="6"/>
      <c r="L29" s="10"/>
    </row>
  </sheetData>
  <mergeCells count="2">
    <mergeCell ref="A1:L1"/>
    <mergeCell ref="A2:L2"/>
  </mergeCells>
  <dataValidations count="5">
    <dataValidation allowBlank="true" errorStyle="stop" operator="between" showDropDown="false" showErrorMessage="false" showInputMessage="false" sqref="D5:D29" type="list">
      <formula1>"TikTok,Facebook,Instagram,Zalo OA,YouTube,FB/IG"</formula1>
      <formula2>0</formula2>
    </dataValidation>
    <dataValidation allowBlank="true" errorStyle="stop" operator="between" showDropDown="false" showErrorMessage="false" showInputMessage="false" sqref="F5:F29" type="list">
      <formula1>"Educational,Inspirational,Promotional,Entertainment,Behind-the-Scenes"</formula1>
      <formula2>0</formula2>
    </dataValidation>
    <dataValidation allowBlank="true" errorStyle="stop" operator="between" showDropDown="false" showErrorMessage="false" showInputMessage="false" sqref="G5:G29" type="list">
      <formula1>"Unaware,Problem-Aware,Solution-Aware,Product-Aware,Most-Aware"</formula1>
      <formula2>0</formula2>
    </dataValidation>
    <dataValidation allowBlank="true" errorStyle="stop" operator="between" showDropDown="false" showErrorMessage="false" showInputMessage="false" sqref="H5:H29" type="list">
      <formula1>"TOFU,MOFU,BOFU"</formula1>
      <formula2>0</formula2>
    </dataValidation>
    <dataValidation allowBlank="true" errorStyle="stop" operator="between" showDropDown="false" showErrorMessage="false" showInputMessage="false" sqref="L5:L29" type="list">
      <formula1>"Idea,Draft,Approved,Scheduled,Posted"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36"/>
    <col collapsed="false" customWidth="true" hidden="false" outlineLevel="0" max="4" min="4" style="1" width="44"/>
  </cols>
  <sheetData>
    <row r="1" customFormat="false" ht="27.75" hidden="false" customHeight="true" outlineLevel="0" collapsed="false">
      <c r="A1" s="2" t="s">
        <v>156</v>
      </c>
      <c r="B1" s="2"/>
      <c r="C1" s="2"/>
      <c r="D1" s="2"/>
    </row>
    <row r="2" customFormat="false" ht="27.75" hidden="false" customHeight="true" outlineLevel="0" collapsed="false">
      <c r="A2" s="3" t="s">
        <v>157</v>
      </c>
      <c r="B2" s="3"/>
      <c r="C2" s="3"/>
      <c r="D2" s="3"/>
    </row>
    <row r="4" customFormat="false" ht="15" hidden="false" customHeight="false" outlineLevel="0" collapsed="false">
      <c r="A4" s="4" t="s">
        <v>158</v>
      </c>
      <c r="B4" s="4" t="s">
        <v>159</v>
      </c>
      <c r="C4" s="4" t="s">
        <v>160</v>
      </c>
      <c r="D4" s="4" t="s">
        <v>161</v>
      </c>
    </row>
    <row r="5" customFormat="false" ht="42" hidden="false" customHeight="true" outlineLevel="0" collapsed="false">
      <c r="A5" s="15" t="s">
        <v>33</v>
      </c>
      <c r="B5" s="8" t="s">
        <v>162</v>
      </c>
      <c r="C5" s="14" t="s">
        <v>163</v>
      </c>
      <c r="D5" s="14" t="s">
        <v>164</v>
      </c>
    </row>
    <row r="6" customFormat="false" ht="42" hidden="false" customHeight="true" outlineLevel="0" collapsed="false">
      <c r="A6" s="16" t="s">
        <v>40</v>
      </c>
      <c r="B6" s="8" t="s">
        <v>165</v>
      </c>
      <c r="C6" s="14" t="s">
        <v>166</v>
      </c>
      <c r="D6" s="14" t="s">
        <v>167</v>
      </c>
    </row>
    <row r="7" customFormat="false" ht="42" hidden="false" customHeight="true" outlineLevel="0" collapsed="false">
      <c r="A7" s="11" t="s">
        <v>145</v>
      </c>
      <c r="B7" s="8" t="s">
        <v>168</v>
      </c>
      <c r="C7" s="14" t="s">
        <v>169</v>
      </c>
      <c r="D7" s="14" t="s">
        <v>170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4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2" t="s">
        <v>171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172</v>
      </c>
      <c r="B2" s="3"/>
      <c r="C2" s="3"/>
      <c r="D2" s="3"/>
      <c r="E2" s="3"/>
      <c r="F2" s="3"/>
    </row>
    <row r="4" customFormat="false" ht="26.85" hidden="false" customHeight="false" outlineLevel="0" collapsed="false">
      <c r="A4" s="4" t="s">
        <v>173</v>
      </c>
      <c r="B4" s="4" t="s">
        <v>174</v>
      </c>
      <c r="C4" s="4" t="s">
        <v>175</v>
      </c>
      <c r="D4" s="4" t="s">
        <v>176</v>
      </c>
      <c r="E4" s="4" t="s">
        <v>177</v>
      </c>
      <c r="F4" s="4" t="s">
        <v>178</v>
      </c>
    </row>
    <row r="5" customFormat="false" ht="15" hidden="false" customHeight="false" outlineLevel="0" collapsed="false">
      <c r="A5" s="9" t="s">
        <v>179</v>
      </c>
      <c r="B5" s="9" t="s">
        <v>43</v>
      </c>
      <c r="C5" s="9" t="s">
        <v>180</v>
      </c>
      <c r="D5" s="8" t="s">
        <v>181</v>
      </c>
      <c r="E5" s="9" t="s">
        <v>182</v>
      </c>
      <c r="F5" s="8" t="s">
        <v>183</v>
      </c>
    </row>
    <row r="6" customFormat="false" ht="15" hidden="false" customHeight="false" outlineLevel="0" collapsed="false">
      <c r="A6" s="9" t="s">
        <v>179</v>
      </c>
      <c r="B6" s="9" t="s">
        <v>184</v>
      </c>
      <c r="C6" s="9" t="s">
        <v>185</v>
      </c>
      <c r="D6" s="8" t="s">
        <v>181</v>
      </c>
      <c r="E6" s="9" t="s">
        <v>186</v>
      </c>
      <c r="F6" s="8" t="s">
        <v>183</v>
      </c>
    </row>
    <row r="7" customFormat="false" ht="15" hidden="false" customHeight="false" outlineLevel="0" collapsed="false">
      <c r="A7" s="9" t="s">
        <v>187</v>
      </c>
      <c r="B7" s="9" t="s">
        <v>188</v>
      </c>
      <c r="C7" s="9" t="s">
        <v>189</v>
      </c>
      <c r="D7" s="8" t="s">
        <v>181</v>
      </c>
      <c r="E7" s="9" t="s">
        <v>190</v>
      </c>
      <c r="F7" s="8" t="s">
        <v>191</v>
      </c>
    </row>
    <row r="8" customFormat="false" ht="15" hidden="false" customHeight="false" outlineLevel="0" collapsed="false">
      <c r="A8" s="9" t="s">
        <v>187</v>
      </c>
      <c r="B8" s="9" t="s">
        <v>192</v>
      </c>
      <c r="C8" s="9" t="s">
        <v>193</v>
      </c>
      <c r="D8" s="8" t="s">
        <v>194</v>
      </c>
      <c r="E8" s="9" t="s">
        <v>195</v>
      </c>
      <c r="F8" s="8" t="s">
        <v>183</v>
      </c>
    </row>
    <row r="9" customFormat="false" ht="15" hidden="false" customHeight="false" outlineLevel="0" collapsed="false">
      <c r="A9" s="9" t="s">
        <v>187</v>
      </c>
      <c r="B9" s="9" t="s">
        <v>196</v>
      </c>
      <c r="C9" s="9" t="s">
        <v>197</v>
      </c>
      <c r="D9" s="8" t="s">
        <v>181</v>
      </c>
      <c r="E9" s="9" t="s">
        <v>198</v>
      </c>
      <c r="F9" s="8" t="s">
        <v>183</v>
      </c>
    </row>
    <row r="10" customFormat="false" ht="15" hidden="false" customHeight="false" outlineLevel="0" collapsed="false">
      <c r="A10" s="9" t="s">
        <v>199</v>
      </c>
      <c r="B10" s="9" t="s">
        <v>200</v>
      </c>
      <c r="C10" s="9" t="s">
        <v>201</v>
      </c>
      <c r="D10" s="8" t="s">
        <v>181</v>
      </c>
      <c r="E10" s="9" t="s">
        <v>202</v>
      </c>
      <c r="F10" s="8" t="s">
        <v>183</v>
      </c>
    </row>
    <row r="11" customFormat="false" ht="15" hidden="false" customHeight="false" outlineLevel="0" collapsed="false">
      <c r="A11" s="9" t="s">
        <v>199</v>
      </c>
      <c r="B11" s="9" t="s">
        <v>203</v>
      </c>
      <c r="C11" s="9" t="s">
        <v>204</v>
      </c>
      <c r="D11" s="8" t="s">
        <v>181</v>
      </c>
      <c r="E11" s="9" t="s">
        <v>205</v>
      </c>
      <c r="F11" s="8" t="s">
        <v>183</v>
      </c>
    </row>
    <row r="12" customFormat="false" ht="15" hidden="false" customHeight="false" outlineLevel="0" collapsed="false">
      <c r="A12" s="9" t="s">
        <v>199</v>
      </c>
      <c r="B12" s="9" t="s">
        <v>206</v>
      </c>
      <c r="C12" s="9" t="s">
        <v>207</v>
      </c>
      <c r="D12" s="8" t="s">
        <v>208</v>
      </c>
      <c r="E12" s="9" t="s">
        <v>209</v>
      </c>
      <c r="F12" s="8" t="s">
        <v>183</v>
      </c>
    </row>
    <row r="13" customFormat="false" ht="15" hidden="false" customHeight="false" outlineLevel="0" collapsed="false">
      <c r="A13" s="9" t="s">
        <v>199</v>
      </c>
      <c r="B13" s="9" t="s">
        <v>87</v>
      </c>
      <c r="C13" s="9" t="s">
        <v>210</v>
      </c>
      <c r="D13" s="8" t="s">
        <v>181</v>
      </c>
      <c r="E13" s="9" t="s">
        <v>211</v>
      </c>
      <c r="F13" s="8" t="s">
        <v>183</v>
      </c>
    </row>
    <row r="14" customFormat="false" ht="15" hidden="false" customHeight="false" outlineLevel="0" collapsed="false">
      <c r="A14" s="9" t="s">
        <v>212</v>
      </c>
      <c r="B14" s="9" t="s">
        <v>213</v>
      </c>
      <c r="C14" s="9" t="s">
        <v>214</v>
      </c>
      <c r="D14" s="8" t="s">
        <v>208</v>
      </c>
      <c r="E14" s="9" t="s">
        <v>215</v>
      </c>
      <c r="F14" s="8" t="s">
        <v>183</v>
      </c>
    </row>
    <row r="15" customFormat="false" ht="15" hidden="false" customHeight="false" outlineLevel="0" collapsed="false">
      <c r="A15" s="9" t="s">
        <v>212</v>
      </c>
      <c r="B15" s="9" t="s">
        <v>216</v>
      </c>
      <c r="C15" s="9" t="s">
        <v>217</v>
      </c>
      <c r="D15" s="8" t="s">
        <v>218</v>
      </c>
      <c r="E15" s="9" t="s">
        <v>211</v>
      </c>
      <c r="F15" s="8" t="s">
        <v>183</v>
      </c>
    </row>
    <row r="16" customFormat="false" ht="15" hidden="false" customHeight="false" outlineLevel="0" collapsed="false">
      <c r="A16" s="9" t="s">
        <v>219</v>
      </c>
      <c r="B16" s="9" t="s">
        <v>220</v>
      </c>
      <c r="C16" s="9" t="s">
        <v>221</v>
      </c>
      <c r="D16" s="8" t="s">
        <v>181</v>
      </c>
      <c r="E16" s="9" t="s">
        <v>222</v>
      </c>
      <c r="F16" s="8" t="s">
        <v>183</v>
      </c>
    </row>
    <row r="17" customFormat="false" ht="15" hidden="false" customHeight="false" outlineLevel="0" collapsed="false">
      <c r="A17" s="9" t="s">
        <v>223</v>
      </c>
      <c r="B17" s="9" t="s">
        <v>224</v>
      </c>
      <c r="C17" s="9" t="s">
        <v>225</v>
      </c>
      <c r="D17" s="8" t="s">
        <v>208</v>
      </c>
      <c r="E17" s="9" t="s">
        <v>226</v>
      </c>
      <c r="F17" s="8" t="s">
        <v>183</v>
      </c>
    </row>
    <row r="18" customFormat="false" ht="15" hidden="false" customHeight="false" outlineLevel="0" collapsed="false">
      <c r="A18" s="9" t="s">
        <v>227</v>
      </c>
      <c r="B18" s="9" t="s">
        <v>228</v>
      </c>
      <c r="C18" s="9" t="s">
        <v>229</v>
      </c>
      <c r="D18" s="8" t="s">
        <v>181</v>
      </c>
      <c r="E18" s="9" t="s">
        <v>230</v>
      </c>
      <c r="F18" s="8" t="s">
        <v>183</v>
      </c>
    </row>
    <row r="19" customFormat="false" ht="15" hidden="false" customHeight="false" outlineLevel="0" collapsed="false">
      <c r="A19" s="9" t="s">
        <v>227</v>
      </c>
      <c r="B19" s="9" t="s">
        <v>231</v>
      </c>
      <c r="C19" s="9" t="s">
        <v>232</v>
      </c>
      <c r="D19" s="8" t="s">
        <v>181</v>
      </c>
      <c r="E19" s="9" t="s">
        <v>233</v>
      </c>
      <c r="F19" s="8" t="s">
        <v>183</v>
      </c>
    </row>
    <row r="20" customFormat="false" ht="15" hidden="false" customHeight="false" outlineLevel="0" collapsed="false">
      <c r="A20" s="9" t="s">
        <v>234</v>
      </c>
      <c r="B20" s="9" t="s">
        <v>235</v>
      </c>
      <c r="C20" s="9" t="s">
        <v>236</v>
      </c>
      <c r="D20" s="8" t="s">
        <v>181</v>
      </c>
      <c r="E20" s="9" t="s">
        <v>237</v>
      </c>
      <c r="F20" s="8" t="s">
        <v>183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20" type="list">
      <formula1>"Chưa,Đang,Xong"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6"/>
    <col collapsed="false" customWidth="true" hidden="false" outlineLevel="0" max="11" min="10" style="1" width="22"/>
  </cols>
  <sheetData>
    <row r="1" customFormat="false" ht="27.75" hidden="false" customHeight="true" outlineLevel="0" collapsed="false">
      <c r="A1" s="2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7.75" hidden="false" customHeight="true" outlineLevel="0" collapsed="false">
      <c r="A2" s="3" t="s">
        <v>239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85" hidden="false" customHeight="false" outlineLevel="0" collapsed="false">
      <c r="A4" s="4" t="s">
        <v>240</v>
      </c>
      <c r="B4" s="4" t="s">
        <v>241</v>
      </c>
      <c r="C4" s="4" t="s">
        <v>242</v>
      </c>
      <c r="D4" s="4" t="s">
        <v>243</v>
      </c>
      <c r="E4" s="4" t="s">
        <v>244</v>
      </c>
      <c r="F4" s="4" t="s">
        <v>245</v>
      </c>
      <c r="G4" s="4" t="s">
        <v>246</v>
      </c>
      <c r="H4" s="4" t="s">
        <v>247</v>
      </c>
      <c r="I4" s="4" t="s">
        <v>248</v>
      </c>
      <c r="J4" s="4" t="s">
        <v>249</v>
      </c>
      <c r="K4" s="4" t="s">
        <v>250</v>
      </c>
    </row>
    <row r="5" customFormat="false" ht="15" hidden="false" customHeight="false" outlineLevel="0" collapsed="false">
      <c r="A5" s="17" t="s">
        <v>251</v>
      </c>
      <c r="B5" s="10"/>
      <c r="C5" s="10"/>
      <c r="D5" s="10"/>
      <c r="E5" s="10"/>
      <c r="F5" s="10"/>
      <c r="G5" s="10"/>
      <c r="H5" s="18" t="n">
        <f aca="false">IFERROR(G5/F5,0)</f>
        <v>0</v>
      </c>
      <c r="I5" s="19"/>
      <c r="J5" s="6"/>
      <c r="K5" s="6"/>
    </row>
    <row r="6" customFormat="false" ht="15" hidden="false" customHeight="false" outlineLevel="0" collapsed="false">
      <c r="A6" s="17" t="s">
        <v>252</v>
      </c>
      <c r="B6" s="10"/>
      <c r="C6" s="10"/>
      <c r="D6" s="10"/>
      <c r="E6" s="10"/>
      <c r="F6" s="10"/>
      <c r="G6" s="10"/>
      <c r="H6" s="18" t="n">
        <f aca="false">IFERROR(G6/F6,0)</f>
        <v>0</v>
      </c>
      <c r="I6" s="19"/>
      <c r="J6" s="6"/>
      <c r="K6" s="6"/>
    </row>
    <row r="7" customFormat="false" ht="15" hidden="false" customHeight="false" outlineLevel="0" collapsed="false">
      <c r="A7" s="17" t="s">
        <v>253</v>
      </c>
      <c r="B7" s="10"/>
      <c r="C7" s="10"/>
      <c r="D7" s="10"/>
      <c r="E7" s="10"/>
      <c r="F7" s="10"/>
      <c r="G7" s="10"/>
      <c r="H7" s="18" t="n">
        <f aca="false">IFERROR(G7/F7,0)</f>
        <v>0</v>
      </c>
      <c r="I7" s="19"/>
      <c r="J7" s="6"/>
      <c r="K7" s="6"/>
    </row>
    <row r="8" customFormat="false" ht="15" hidden="false" customHeight="false" outlineLevel="0" collapsed="false">
      <c r="A8" s="17" t="s">
        <v>254</v>
      </c>
      <c r="B8" s="10"/>
      <c r="C8" s="10"/>
      <c r="D8" s="10"/>
      <c r="E8" s="10"/>
      <c r="F8" s="10"/>
      <c r="G8" s="10"/>
      <c r="H8" s="18" t="n">
        <f aca="false">IFERROR(G8/F8,0)</f>
        <v>0</v>
      </c>
      <c r="I8" s="19"/>
      <c r="J8" s="6"/>
      <c r="K8" s="6"/>
    </row>
    <row r="9" customFormat="false" ht="15" hidden="false" customHeight="false" outlineLevel="0" collapsed="false">
      <c r="A9" s="17" t="s">
        <v>255</v>
      </c>
      <c r="B9" s="10"/>
      <c r="C9" s="10"/>
      <c r="D9" s="10"/>
      <c r="E9" s="10"/>
      <c r="F9" s="10"/>
      <c r="G9" s="10"/>
      <c r="H9" s="18" t="n">
        <f aca="false">IFERROR(G9/F9,0)</f>
        <v>0</v>
      </c>
      <c r="I9" s="19"/>
      <c r="J9" s="6"/>
      <c r="K9" s="6"/>
    </row>
    <row r="10" customFormat="false" ht="15" hidden="false" customHeight="false" outlineLevel="0" collapsed="false">
      <c r="A10" s="17" t="s">
        <v>256</v>
      </c>
      <c r="B10" s="10"/>
      <c r="C10" s="10"/>
      <c r="D10" s="10"/>
      <c r="E10" s="10"/>
      <c r="F10" s="10"/>
      <c r="G10" s="10"/>
      <c r="H10" s="18" t="n">
        <f aca="false">IFERROR(G10/F10,0)</f>
        <v>0</v>
      </c>
      <c r="I10" s="19"/>
      <c r="J10" s="6"/>
      <c r="K10" s="6"/>
    </row>
    <row r="11" customFormat="false" ht="15" hidden="false" customHeight="false" outlineLevel="0" collapsed="false">
      <c r="A11" s="17" t="s">
        <v>257</v>
      </c>
      <c r="B11" s="10"/>
      <c r="C11" s="10"/>
      <c r="D11" s="10"/>
      <c r="E11" s="10"/>
      <c r="F11" s="10"/>
      <c r="G11" s="10"/>
      <c r="H11" s="18" t="n">
        <f aca="false">IFERROR(G11/F11,0)</f>
        <v>0</v>
      </c>
      <c r="I11" s="19"/>
      <c r="J11" s="6"/>
      <c r="K11" s="6"/>
    </row>
    <row r="12" customFormat="false" ht="15" hidden="false" customHeight="false" outlineLevel="0" collapsed="false">
      <c r="A12" s="17" t="s">
        <v>258</v>
      </c>
      <c r="B12" s="10"/>
      <c r="C12" s="10"/>
      <c r="D12" s="10"/>
      <c r="E12" s="10"/>
      <c r="F12" s="10"/>
      <c r="G12" s="10"/>
      <c r="H12" s="18" t="n">
        <f aca="false">IFERROR(G12/F12,0)</f>
        <v>0</v>
      </c>
      <c r="I12" s="19"/>
      <c r="J12" s="6"/>
      <c r="K12" s="6"/>
    </row>
    <row r="13" customFormat="false" ht="26.85" hidden="false" customHeight="false" outlineLevel="0" collapsed="false">
      <c r="A13" s="20" t="s">
        <v>259</v>
      </c>
      <c r="B13" s="21" t="n">
        <f aca="false">SUM(B5:B12)</f>
        <v>0</v>
      </c>
      <c r="C13" s="21" t="n">
        <f aca="false">SUM(C5:C12)</f>
        <v>0</v>
      </c>
      <c r="D13" s="21" t="n">
        <f aca="false">SUM(D5:D12)</f>
        <v>0</v>
      </c>
      <c r="E13" s="21" t="n">
        <f aca="false">SUM(E5:E12)</f>
        <v>0</v>
      </c>
      <c r="F13" s="21" t="n">
        <f aca="false">SUM(F5:F12)</f>
        <v>0</v>
      </c>
      <c r="G13" s="21" t="n">
        <f aca="false">SUM(G5:G12)</f>
        <v>0</v>
      </c>
      <c r="H13" s="22" t="n">
        <f aca="false">IFERROR(G13/F13,0)</f>
        <v>0</v>
      </c>
      <c r="I13" s="23" t="n">
        <f aca="false">SUM(I5:I12)</f>
        <v>0</v>
      </c>
      <c r="J13" s="24"/>
      <c r="K13" s="24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260</v>
      </c>
      <c r="B1" s="2"/>
      <c r="C1" s="2"/>
    </row>
    <row r="2" customFormat="false" ht="27.75" hidden="false" customHeight="true" outlineLevel="0" collapsed="false">
      <c r="A2" s="3" t="s">
        <v>261</v>
      </c>
      <c r="B2" s="3"/>
      <c r="C2" s="3"/>
    </row>
    <row r="4" customFormat="false" ht="15" hidden="false" customHeight="true" outlineLevel="0" collapsed="false">
      <c r="A4" s="25" t="s">
        <v>262</v>
      </c>
      <c r="B4" s="25"/>
      <c r="C4" s="25"/>
    </row>
    <row r="5" customFormat="false" ht="15" hidden="false" customHeight="false" outlineLevel="0" collapsed="false">
      <c r="A5" s="5" t="s">
        <v>263</v>
      </c>
      <c r="B5" s="8" t="s">
        <v>264</v>
      </c>
      <c r="C5" s="7" t="s">
        <v>265</v>
      </c>
    </row>
    <row r="6" customFormat="false" ht="15" hidden="false" customHeight="false" outlineLevel="0" collapsed="false">
      <c r="A6" s="5" t="s">
        <v>266</v>
      </c>
      <c r="B6" s="8" t="s">
        <v>267</v>
      </c>
      <c r="C6" s="7" t="s">
        <v>268</v>
      </c>
    </row>
    <row r="7" customFormat="false" ht="15" hidden="false" customHeight="false" outlineLevel="0" collapsed="false">
      <c r="A7" s="5" t="s">
        <v>269</v>
      </c>
      <c r="B7" s="8" t="s">
        <v>270</v>
      </c>
      <c r="C7" s="7" t="s">
        <v>271</v>
      </c>
    </row>
    <row r="8" customFormat="false" ht="15" hidden="false" customHeight="false" outlineLevel="0" collapsed="false">
      <c r="A8" s="5" t="s">
        <v>143</v>
      </c>
      <c r="B8" s="8" t="s">
        <v>272</v>
      </c>
      <c r="C8" s="7" t="s">
        <v>273</v>
      </c>
    </row>
    <row r="10" customFormat="false" ht="15" hidden="false" customHeight="true" outlineLevel="0" collapsed="false">
      <c r="A10" s="25" t="s">
        <v>274</v>
      </c>
      <c r="B10" s="25"/>
      <c r="C10" s="25"/>
    </row>
    <row r="11" customFormat="false" ht="15" hidden="false" customHeight="false" outlineLevel="0" collapsed="false">
      <c r="A11" s="5" t="s">
        <v>275</v>
      </c>
      <c r="B11" s="8" t="s">
        <v>276</v>
      </c>
      <c r="C11" s="7" t="s">
        <v>277</v>
      </c>
    </row>
    <row r="12" customFormat="false" ht="15" hidden="false" customHeight="false" outlineLevel="0" collapsed="false">
      <c r="A12" s="5" t="s">
        <v>143</v>
      </c>
      <c r="B12" s="8" t="s">
        <v>270</v>
      </c>
      <c r="C12" s="7" t="s">
        <v>278</v>
      </c>
    </row>
    <row r="14" customFormat="false" ht="15" hidden="false" customHeight="true" outlineLevel="0" collapsed="false">
      <c r="A14" s="25" t="s">
        <v>279</v>
      </c>
      <c r="B14" s="25"/>
      <c r="C14" s="25"/>
    </row>
    <row r="15" customFormat="false" ht="15" hidden="false" customHeight="false" outlineLevel="0" collapsed="false">
      <c r="A15" s="5" t="s">
        <v>45</v>
      </c>
      <c r="B15" s="8" t="s">
        <v>280</v>
      </c>
      <c r="C15" s="7" t="s">
        <v>281</v>
      </c>
    </row>
    <row r="16" customFormat="false" ht="15" hidden="false" customHeight="false" outlineLevel="0" collapsed="false">
      <c r="A16" s="5" t="s">
        <v>282</v>
      </c>
      <c r="B16" s="8" t="s">
        <v>264</v>
      </c>
      <c r="C16" s="7" t="s">
        <v>283</v>
      </c>
    </row>
    <row r="17" customFormat="false" ht="15" hidden="false" customHeight="false" outlineLevel="0" collapsed="false">
      <c r="A17" s="5" t="s">
        <v>144</v>
      </c>
      <c r="B17" s="8" t="s">
        <v>270</v>
      </c>
      <c r="C17" s="7" t="s">
        <v>284</v>
      </c>
    </row>
    <row r="18" customFormat="false" ht="15" hidden="false" customHeight="false" outlineLevel="0" collapsed="false">
      <c r="A18" s="5" t="s">
        <v>285</v>
      </c>
      <c r="B18" s="8" t="s">
        <v>286</v>
      </c>
      <c r="C18" s="7" t="s">
        <v>287</v>
      </c>
    </row>
    <row r="20" customFormat="false" ht="15" hidden="false" customHeight="true" outlineLevel="0" collapsed="false">
      <c r="A20" s="25" t="s">
        <v>288</v>
      </c>
      <c r="B20" s="25"/>
      <c r="C20" s="25"/>
    </row>
    <row r="21" customFormat="false" ht="15" hidden="false" customHeight="false" outlineLevel="0" collapsed="false">
      <c r="A21" s="5" t="s">
        <v>289</v>
      </c>
      <c r="B21" s="8" t="s">
        <v>290</v>
      </c>
      <c r="C21" s="7" t="s">
        <v>291</v>
      </c>
    </row>
    <row r="22" customFormat="false" ht="15" hidden="false" customHeight="false" outlineLevel="0" collapsed="false">
      <c r="A22" s="5" t="s">
        <v>292</v>
      </c>
      <c r="B22" s="8" t="s">
        <v>293</v>
      </c>
      <c r="C22" s="7" t="s">
        <v>294</v>
      </c>
    </row>
    <row r="23" customFormat="false" ht="15" hidden="false" customHeight="false" outlineLevel="0" collapsed="false">
      <c r="A23" s="5" t="s">
        <v>295</v>
      </c>
      <c r="B23" s="8" t="s">
        <v>296</v>
      </c>
      <c r="C23" s="7" t="s">
        <v>297</v>
      </c>
    </row>
    <row r="25" customFormat="false" ht="15" hidden="false" customHeight="true" outlineLevel="0" collapsed="false">
      <c r="A25" s="25" t="s">
        <v>298</v>
      </c>
      <c r="B25" s="25"/>
      <c r="C25" s="25"/>
    </row>
    <row r="26" customFormat="false" ht="15" hidden="false" customHeight="false" outlineLevel="0" collapsed="false">
      <c r="A26" s="5" t="s">
        <v>118</v>
      </c>
      <c r="B26" s="8" t="s">
        <v>299</v>
      </c>
      <c r="C26" s="7" t="s">
        <v>300</v>
      </c>
    </row>
    <row r="27" customFormat="false" ht="15" hidden="false" customHeight="false" outlineLevel="0" collapsed="false">
      <c r="A27" s="5" t="s">
        <v>125</v>
      </c>
      <c r="B27" s="8" t="s">
        <v>301</v>
      </c>
      <c r="C27" s="7" t="s">
        <v>302</v>
      </c>
    </row>
    <row r="28" customFormat="false" ht="15" hidden="false" customHeight="false" outlineLevel="0" collapsed="false">
      <c r="A28" s="5" t="s">
        <v>111</v>
      </c>
      <c r="B28" s="8" t="s">
        <v>303</v>
      </c>
      <c r="C28" s="7" t="s">
        <v>304</v>
      </c>
    </row>
    <row r="29" customFormat="false" ht="15" hidden="false" customHeight="false" outlineLevel="0" collapsed="false">
      <c r="A29" s="5" t="s">
        <v>305</v>
      </c>
      <c r="B29" s="8" t="s">
        <v>299</v>
      </c>
      <c r="C29" s="7" t="s">
        <v>296</v>
      </c>
    </row>
    <row r="30" customFormat="false" ht="15" hidden="false" customHeight="false" outlineLevel="0" collapsed="false">
      <c r="A30" s="5" t="s">
        <v>87</v>
      </c>
      <c r="B30" s="8" t="s">
        <v>306</v>
      </c>
      <c r="C30" s="7" t="s">
        <v>307</v>
      </c>
    </row>
  </sheetData>
  <mergeCells count="7">
    <mergeCell ref="A1:C1"/>
    <mergeCell ref="A2:C2"/>
    <mergeCell ref="A4:C4"/>
    <mergeCell ref="A10:C10"/>
    <mergeCell ref="A14:C14"/>
    <mergeCell ref="A20:C20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2026-05-24T07:51:36Z</dcterms:created>
  <dc:creator>openpyxl</dc:creator>
  <dc:description/>
  <dc:language>en-US</dc:language>
  <cp:lastModifiedBy/>
  <dcterms:modified xsi:type="dcterms:W3CDTF">2026-05-24T21:10:41Z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